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承租人-合并源数据" sheetId="1" state="visible" r:id="rId1"/>
    <sheet name="2.承租人-本部源数据" sheetId="2" state="visible" r:id="rId2"/>
    <sheet name="3.承租人-财务分析" sheetId="3" state="visible" r:id="rId3"/>
    <sheet name="4.担保人-合并源数据" sheetId="4" state="visible" r:id="rId4"/>
    <sheet name="5.担保人-本部源数据" sheetId="5" state="visible" r:id="rId5"/>
    <sheet name="6.担保人-财务分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* #,##0.00_);_(* (#,##0.00);_(* &quot;-&quot;??_);_(@_)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80"/>
    </font>
    <font>
      <b val="1"/>
      <color rgb="00FF0000"/>
    </font>
    <font>
      <b val="1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  <fill>
      <patternFill patternType="solid">
        <fgColor rgb="00FFFFE0"/>
        <bgColor rgb="00FFFFE0"/>
      </patternFill>
    </fill>
    <fill>
      <patternFill patternType="solid">
        <fgColor rgb="009BBB59"/>
        <bgColor rgb="009BBB5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2" fillId="3" borderId="1" pivotButton="0" quotePrefix="0" xfId="0"/>
    <xf numFmtId="0" fontId="0" fillId="0" borderId="3" pivotButton="0" quotePrefix="0" xfId="0"/>
    <xf numFmtId="164" fontId="0" fillId="4" borderId="1" applyProtection="1" pivotButton="0" quotePrefix="0" xfId="0">
      <protection locked="0" hidden="0"/>
    </xf>
    <xf numFmtId="0" fontId="0" fillId="0" borderId="4" pivotButton="0" quotePrefix="0" xfId="0"/>
    <xf numFmtId="164" fontId="3" fillId="3" borderId="1" pivotButton="0" quotePrefix="0" xfId="0"/>
    <xf numFmtId="164" fontId="0" fillId="3" borderId="1" pivotButton="0" quotePrefix="0" xfId="0"/>
    <xf numFmtId="0" fontId="1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1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4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序号</t>
        </is>
      </c>
      <c r="B1" s="1" t="inlineStr">
        <is>
          <t>报表分类</t>
        </is>
      </c>
      <c r="C1" s="1" t="inlineStr">
        <is>
          <t>标准会计科目</t>
        </is>
      </c>
      <c r="D1" s="1" t="inlineStr">
        <is>
          <t>2022年</t>
        </is>
      </c>
      <c r="E1" s="1" t="inlineStr">
        <is>
          <t>2023年</t>
        </is>
      </c>
      <c r="F1" s="1" t="inlineStr">
        <is>
          <t>2024年</t>
        </is>
      </c>
      <c r="G1" s="1" t="inlineStr">
        <is>
          <t>最新一期</t>
        </is>
      </c>
    </row>
    <row r="2">
      <c r="A2" s="2" t="n">
        <v>1</v>
      </c>
      <c r="B2" s="3" t="inlineStr">
        <is>
          <t>资产负债表</t>
        </is>
      </c>
      <c r="C2" s="2" t="inlineStr">
        <is>
          <t>流动资产合计</t>
        </is>
      </c>
      <c r="D2" s="4">
        <f>SUM(D3,D5,D6,D7,D8,D9,D10,D11,D12,D13,D14,D15,D16,D17,D18,D19,D20,D21,D22)</f>
        <v/>
      </c>
      <c r="E2" s="4">
        <f>SUM(E3,E5,E6,E7,E8,E9,E10,E11,E12,E13,E14,E15,E16,E17,E18,E19,E20,E21,E22)</f>
        <v/>
      </c>
      <c r="F2" s="4">
        <f>SUM(F3,F5,F6,F7,F8,F9,F10,F11,F12,F13,F14,F15,F16,F17,F18,F19,F20,F21,F22)</f>
        <v/>
      </c>
      <c r="G2" s="4">
        <f>SUM(G3,G5,G6,G7,G8,G9,G10,G11,G12,G13,G14,G15,G16,G17,G18,G19,G20,G21,G22)</f>
        <v/>
      </c>
    </row>
    <row r="3">
      <c r="A3" s="2" t="n">
        <v>2</v>
      </c>
      <c r="B3" s="5" t="n"/>
      <c r="C3" s="2" t="inlineStr">
        <is>
          <t>货币资金</t>
        </is>
      </c>
      <c r="D3" s="6" t="n"/>
      <c r="E3" s="6" t="n"/>
      <c r="F3" s="6" t="n"/>
      <c r="G3" s="6" t="n"/>
    </row>
    <row r="4">
      <c r="A4" s="2" t="n">
        <v>3</v>
      </c>
      <c r="B4" s="5" t="n"/>
      <c r="C4" s="2" t="inlineStr">
        <is>
          <t>其中：受限货币资金</t>
        </is>
      </c>
      <c r="D4" s="6" t="n"/>
      <c r="E4" s="6" t="n"/>
      <c r="F4" s="6" t="n"/>
      <c r="G4" s="6" t="n"/>
    </row>
    <row r="5">
      <c r="A5" s="2" t="n">
        <v>4</v>
      </c>
      <c r="B5" s="5" t="n"/>
      <c r="C5" s="2" t="inlineStr">
        <is>
          <t>结算备付金</t>
        </is>
      </c>
      <c r="D5" s="6" t="n"/>
      <c r="E5" s="6" t="n"/>
      <c r="F5" s="6" t="n"/>
      <c r="G5" s="6" t="n"/>
    </row>
    <row r="6">
      <c r="A6" s="2" t="n">
        <v>5</v>
      </c>
      <c r="B6" s="5" t="n"/>
      <c r="C6" s="2" t="inlineStr">
        <is>
          <t>拆出资金</t>
        </is>
      </c>
      <c r="D6" s="6" t="n"/>
      <c r="E6" s="6" t="n"/>
      <c r="F6" s="6" t="n"/>
      <c r="G6" s="6" t="n"/>
    </row>
    <row r="7">
      <c r="A7" s="2" t="n">
        <v>6</v>
      </c>
      <c r="B7" s="5" t="n"/>
      <c r="C7" s="2" t="inlineStr">
        <is>
          <t>交易性金融资产 / 短期投资</t>
        </is>
      </c>
      <c r="D7" s="6" t="n"/>
      <c r="E7" s="6" t="n"/>
      <c r="F7" s="6" t="n"/>
      <c r="G7" s="6" t="n"/>
    </row>
    <row r="8">
      <c r="A8" s="2" t="n">
        <v>7</v>
      </c>
      <c r="B8" s="5" t="n"/>
      <c r="C8" s="2" t="inlineStr">
        <is>
          <t>衍生金融资产</t>
        </is>
      </c>
      <c r="D8" s="6" t="n"/>
      <c r="E8" s="6" t="n"/>
      <c r="F8" s="6" t="n"/>
      <c r="G8" s="6" t="n"/>
    </row>
    <row r="9">
      <c r="A9" s="2" t="n">
        <v>8</v>
      </c>
      <c r="B9" s="5" t="n"/>
      <c r="C9" s="2" t="inlineStr">
        <is>
          <t>应收票据</t>
        </is>
      </c>
      <c r="D9" s="6" t="n"/>
      <c r="E9" s="6" t="n"/>
      <c r="F9" s="6" t="n"/>
      <c r="G9" s="6" t="n"/>
    </row>
    <row r="10">
      <c r="A10" s="2" t="n">
        <v>9</v>
      </c>
      <c r="B10" s="5" t="n"/>
      <c r="C10" s="2" t="inlineStr">
        <is>
          <t>应收账款</t>
        </is>
      </c>
      <c r="D10" s="6" t="n"/>
      <c r="E10" s="6" t="n"/>
      <c r="F10" s="6" t="n"/>
      <c r="G10" s="6" t="n"/>
    </row>
    <row r="11">
      <c r="A11" s="2" t="n">
        <v>10</v>
      </c>
      <c r="B11" s="5" t="n"/>
      <c r="C11" s="2" t="inlineStr">
        <is>
          <t>应收款项融资</t>
        </is>
      </c>
      <c r="D11" s="6" t="n"/>
      <c r="E11" s="6" t="n"/>
      <c r="F11" s="6" t="n"/>
      <c r="G11" s="6" t="n"/>
    </row>
    <row r="12">
      <c r="A12" s="2" t="n">
        <v>11</v>
      </c>
      <c r="B12" s="5" t="n"/>
      <c r="C12" s="2" t="inlineStr">
        <is>
          <t>预付款项</t>
        </is>
      </c>
      <c r="D12" s="6" t="n"/>
      <c r="E12" s="6" t="n"/>
      <c r="F12" s="6" t="n"/>
      <c r="G12" s="6" t="n"/>
    </row>
    <row r="13">
      <c r="A13" s="2" t="n">
        <v>12</v>
      </c>
      <c r="B13" s="5" t="n"/>
      <c r="C13" s="2" t="inlineStr">
        <is>
          <t>应收保费 / 应收分保账款</t>
        </is>
      </c>
      <c r="D13" s="6" t="n"/>
      <c r="E13" s="6" t="n"/>
      <c r="F13" s="6" t="n"/>
      <c r="G13" s="6" t="n"/>
    </row>
    <row r="14">
      <c r="A14" s="2" t="n">
        <v>13</v>
      </c>
      <c r="B14" s="5" t="n"/>
      <c r="C14" s="2" t="inlineStr">
        <is>
          <t>应收利息</t>
        </is>
      </c>
      <c r="D14" s="6" t="n"/>
      <c r="E14" s="6" t="n"/>
      <c r="F14" s="6" t="n"/>
      <c r="G14" s="6" t="n"/>
    </row>
    <row r="15">
      <c r="A15" s="2" t="n">
        <v>14</v>
      </c>
      <c r="B15" s="5" t="n"/>
      <c r="C15" s="2" t="inlineStr">
        <is>
          <t>应收股利</t>
        </is>
      </c>
      <c r="D15" s="6" t="n"/>
      <c r="E15" s="6" t="n"/>
      <c r="F15" s="6" t="n"/>
      <c r="G15" s="6" t="n"/>
    </row>
    <row r="16">
      <c r="A16" s="2" t="n">
        <v>15</v>
      </c>
      <c r="B16" s="5" t="n"/>
      <c r="C16" s="2" t="inlineStr">
        <is>
          <t>其他应收款</t>
        </is>
      </c>
      <c r="D16" s="6" t="n"/>
      <c r="E16" s="6" t="n"/>
      <c r="F16" s="6" t="n"/>
      <c r="G16" s="6" t="n"/>
    </row>
    <row r="17">
      <c r="A17" s="2" t="n">
        <v>16</v>
      </c>
      <c r="B17" s="5" t="n"/>
      <c r="C17" s="2" t="inlineStr">
        <is>
          <t>买入返售金融资产</t>
        </is>
      </c>
      <c r="D17" s="6" t="n"/>
      <c r="E17" s="6" t="n"/>
      <c r="F17" s="6" t="n"/>
      <c r="G17" s="6" t="n"/>
    </row>
    <row r="18">
      <c r="A18" s="2" t="n">
        <v>17</v>
      </c>
      <c r="B18" s="5" t="n"/>
      <c r="C18" s="2" t="inlineStr">
        <is>
          <t>存货</t>
        </is>
      </c>
      <c r="D18" s="6" t="n"/>
      <c r="E18" s="6" t="n"/>
      <c r="F18" s="6" t="n"/>
      <c r="G18" s="6" t="n"/>
    </row>
    <row r="19">
      <c r="A19" s="2" t="n">
        <v>18</v>
      </c>
      <c r="B19" s="5" t="n"/>
      <c r="C19" s="2" t="inlineStr">
        <is>
          <t>合同资产</t>
        </is>
      </c>
      <c r="D19" s="6" t="n"/>
      <c r="E19" s="6" t="n"/>
      <c r="F19" s="6" t="n"/>
      <c r="G19" s="6" t="n"/>
    </row>
    <row r="20">
      <c r="A20" s="2" t="n">
        <v>19</v>
      </c>
      <c r="B20" s="5" t="n"/>
      <c r="C20" s="2" t="inlineStr">
        <is>
          <t>持有待售资产</t>
        </is>
      </c>
      <c r="D20" s="6" t="n"/>
      <c r="E20" s="6" t="n"/>
      <c r="F20" s="6" t="n"/>
      <c r="G20" s="6" t="n"/>
    </row>
    <row r="21">
      <c r="A21" s="2" t="n">
        <v>20</v>
      </c>
      <c r="B21" s="5" t="n"/>
      <c r="C21" s="2" t="inlineStr">
        <is>
          <t>一年内到期的非流动资产</t>
        </is>
      </c>
      <c r="D21" s="6" t="n"/>
      <c r="E21" s="6" t="n"/>
      <c r="F21" s="6" t="n"/>
      <c r="G21" s="6" t="n"/>
    </row>
    <row r="22">
      <c r="A22" s="2" t="n">
        <v>21</v>
      </c>
      <c r="B22" s="5" t="n"/>
      <c r="C22" s="2" t="inlineStr">
        <is>
          <t>其他流动资产</t>
        </is>
      </c>
      <c r="D22" s="6" t="n"/>
      <c r="E22" s="6" t="n"/>
      <c r="F22" s="6" t="n"/>
      <c r="G22" s="6" t="n"/>
    </row>
    <row r="23">
      <c r="A23" s="2" t="n">
        <v>22</v>
      </c>
      <c r="B23" s="5" t="n"/>
      <c r="C23" s="2" t="inlineStr">
        <is>
          <t>非流动资产合计</t>
        </is>
      </c>
      <c r="D23" s="4">
        <f>SUM(D24,D25,D26,D27,D28,D29,D30,D31,D32,D34,D35,D36,D37,D38,D39,D40,D41,D42)</f>
        <v/>
      </c>
      <c r="E23" s="4">
        <f>SUM(E24,E25,E26,E27,E28,E29,E30,E31,E32,E34,E35,E36,E37,E38,E39,E40,E41,E42)</f>
        <v/>
      </c>
      <c r="F23" s="4">
        <f>SUM(F24,F25,F26,F27,F28,F29,F30,F31,F32,F34,F35,F36,F37,F38,F39,F40,F41,F42)</f>
        <v/>
      </c>
      <c r="G23" s="4">
        <f>SUM(G24,G25,G26,G27,G28,G29,G30,G31,G32,G34,G35,G36,G37,G38,G39,G40,G41,G42)</f>
        <v/>
      </c>
    </row>
    <row r="24">
      <c r="A24" s="2" t="n">
        <v>23</v>
      </c>
      <c r="B24" s="5" t="n"/>
      <c r="C24" s="2" t="inlineStr">
        <is>
          <t>发放贷款和垫款</t>
        </is>
      </c>
      <c r="D24" s="6" t="n"/>
      <c r="E24" s="6" t="n"/>
      <c r="F24" s="6" t="n"/>
      <c r="G24" s="6" t="n"/>
    </row>
    <row r="25">
      <c r="A25" s="2" t="n">
        <v>24</v>
      </c>
      <c r="B25" s="5" t="n"/>
      <c r="C25" s="2" t="inlineStr">
        <is>
          <t>债权投资 / 持有至到期投资</t>
        </is>
      </c>
      <c r="D25" s="6" t="n"/>
      <c r="E25" s="6" t="n"/>
      <c r="F25" s="6" t="n"/>
      <c r="G25" s="6" t="n"/>
    </row>
    <row r="26">
      <c r="A26" s="2" t="n">
        <v>25</v>
      </c>
      <c r="B26" s="5" t="n"/>
      <c r="C26" s="2" t="inlineStr">
        <is>
          <t>其他债权投资 / 可供出售金融资产</t>
        </is>
      </c>
      <c r="D26" s="6" t="n"/>
      <c r="E26" s="6" t="n"/>
      <c r="F26" s="6" t="n"/>
      <c r="G26" s="6" t="n"/>
    </row>
    <row r="27">
      <c r="A27" s="2" t="n">
        <v>26</v>
      </c>
      <c r="B27" s="5" t="n"/>
      <c r="C27" s="2" t="inlineStr">
        <is>
          <t>长期应收款</t>
        </is>
      </c>
      <c r="D27" s="6" t="n"/>
      <c r="E27" s="6" t="n"/>
      <c r="F27" s="6" t="n"/>
      <c r="G27" s="6" t="n"/>
    </row>
    <row r="28">
      <c r="A28" s="2" t="n">
        <v>27</v>
      </c>
      <c r="B28" s="5" t="n"/>
      <c r="C28" s="2" t="inlineStr">
        <is>
          <t>长期股权投资</t>
        </is>
      </c>
      <c r="D28" s="6" t="n"/>
      <c r="E28" s="6" t="n"/>
      <c r="F28" s="6" t="n"/>
      <c r="G28" s="6" t="n"/>
    </row>
    <row r="29">
      <c r="A29" s="2" t="n">
        <v>28</v>
      </c>
      <c r="B29" s="5" t="n"/>
      <c r="C29" s="2" t="inlineStr">
        <is>
          <t>其他权益工具投资</t>
        </is>
      </c>
      <c r="D29" s="6" t="n"/>
      <c r="E29" s="6" t="n"/>
      <c r="F29" s="6" t="n"/>
      <c r="G29" s="6" t="n"/>
    </row>
    <row r="30">
      <c r="A30" s="2" t="n">
        <v>29</v>
      </c>
      <c r="B30" s="5" t="n"/>
      <c r="C30" s="2" t="inlineStr">
        <is>
          <t>其他非流动金融资产</t>
        </is>
      </c>
      <c r="D30" s="6" t="n"/>
      <c r="E30" s="6" t="n"/>
      <c r="F30" s="6" t="n"/>
      <c r="G30" s="6" t="n"/>
    </row>
    <row r="31">
      <c r="A31" s="2" t="n">
        <v>30</v>
      </c>
      <c r="B31" s="5" t="n"/>
      <c r="C31" s="2" t="inlineStr">
        <is>
          <t>投资性房地产</t>
        </is>
      </c>
      <c r="D31" s="6" t="n"/>
      <c r="E31" s="6" t="n"/>
      <c r="F31" s="6" t="n"/>
      <c r="G31" s="6" t="n"/>
    </row>
    <row r="32">
      <c r="A32" s="2" t="n">
        <v>31</v>
      </c>
      <c r="B32" s="5" t="n"/>
      <c r="C32" s="2" t="inlineStr">
        <is>
          <t>固定资产</t>
        </is>
      </c>
      <c r="D32" s="6" t="n"/>
      <c r="E32" s="6" t="n"/>
      <c r="F32" s="6" t="n"/>
      <c r="G32" s="6" t="n"/>
    </row>
    <row r="33">
      <c r="A33" s="2" t="n">
        <v>32</v>
      </c>
      <c r="B33" s="5" t="n"/>
      <c r="C33" s="2" t="inlineStr">
        <is>
          <t>其中：固定资产清理</t>
        </is>
      </c>
      <c r="D33" s="6" t="n"/>
      <c r="E33" s="6" t="n"/>
      <c r="F33" s="6" t="n"/>
      <c r="G33" s="6" t="n"/>
    </row>
    <row r="34">
      <c r="A34" s="2" t="n">
        <v>33</v>
      </c>
      <c r="B34" s="5" t="n"/>
      <c r="C34" s="2" t="inlineStr">
        <is>
          <t>在建工程</t>
        </is>
      </c>
      <c r="D34" s="6" t="n"/>
      <c r="E34" s="6" t="n"/>
      <c r="F34" s="6" t="n"/>
      <c r="G34" s="6" t="n"/>
    </row>
    <row r="35">
      <c r="A35" s="2" t="n">
        <v>34</v>
      </c>
      <c r="B35" s="5" t="n"/>
      <c r="C35" s="2" t="inlineStr">
        <is>
          <t>生产性生物资产 / 油气资产</t>
        </is>
      </c>
      <c r="D35" s="6" t="n"/>
      <c r="E35" s="6" t="n"/>
      <c r="F35" s="6" t="n"/>
      <c r="G35" s="6" t="n"/>
    </row>
    <row r="36">
      <c r="A36" s="2" t="n">
        <v>35</v>
      </c>
      <c r="B36" s="5" t="n"/>
      <c r="C36" s="2" t="inlineStr">
        <is>
          <t>使用权资产</t>
        </is>
      </c>
      <c r="D36" s="6" t="n"/>
      <c r="E36" s="6" t="n"/>
      <c r="F36" s="6" t="n"/>
      <c r="G36" s="6" t="n"/>
    </row>
    <row r="37">
      <c r="A37" s="2" t="n">
        <v>36</v>
      </c>
      <c r="B37" s="5" t="n"/>
      <c r="C37" s="2" t="inlineStr">
        <is>
          <t>无形资产</t>
        </is>
      </c>
      <c r="D37" s="6" t="n"/>
      <c r="E37" s="6" t="n"/>
      <c r="F37" s="6" t="n"/>
      <c r="G37" s="6" t="n"/>
    </row>
    <row r="38">
      <c r="A38" s="2" t="n">
        <v>37</v>
      </c>
      <c r="B38" s="5" t="n"/>
      <c r="C38" s="2" t="inlineStr">
        <is>
          <t>开发支出</t>
        </is>
      </c>
      <c r="D38" s="6" t="n"/>
      <c r="E38" s="6" t="n"/>
      <c r="F38" s="6" t="n"/>
      <c r="G38" s="6" t="n"/>
    </row>
    <row r="39">
      <c r="A39" s="2" t="n">
        <v>38</v>
      </c>
      <c r="B39" s="5" t="n"/>
      <c r="C39" s="2" t="inlineStr">
        <is>
          <t>商誉</t>
        </is>
      </c>
      <c r="D39" s="6" t="n"/>
      <c r="E39" s="6" t="n"/>
      <c r="F39" s="6" t="n"/>
      <c r="G39" s="6" t="n"/>
    </row>
    <row r="40">
      <c r="A40" s="2" t="n">
        <v>39</v>
      </c>
      <c r="B40" s="5" t="n"/>
      <c r="C40" s="2" t="inlineStr">
        <is>
          <t>长期待摊费用</t>
        </is>
      </c>
      <c r="D40" s="6" t="n"/>
      <c r="E40" s="6" t="n"/>
      <c r="F40" s="6" t="n"/>
      <c r="G40" s="6" t="n"/>
    </row>
    <row r="41">
      <c r="A41" s="2" t="n">
        <v>40</v>
      </c>
      <c r="B41" s="5" t="n"/>
      <c r="C41" s="2" t="inlineStr">
        <is>
          <t>递延所得税资产</t>
        </is>
      </c>
      <c r="D41" s="6" t="n"/>
      <c r="E41" s="6" t="n"/>
      <c r="F41" s="6" t="n"/>
      <c r="G41" s="6" t="n"/>
    </row>
    <row r="42">
      <c r="A42" s="2" t="n">
        <v>41</v>
      </c>
      <c r="B42" s="5" t="n"/>
      <c r="C42" s="2" t="inlineStr">
        <is>
          <t>其他非流动资产</t>
        </is>
      </c>
      <c r="D42" s="6" t="n"/>
      <c r="E42" s="6" t="n"/>
      <c r="F42" s="6" t="n"/>
      <c r="G42" s="6" t="n"/>
    </row>
    <row r="43">
      <c r="A43" s="2" t="n">
        <v>42</v>
      </c>
      <c r="B43" s="5" t="n"/>
      <c r="C43" s="2" t="inlineStr">
        <is>
          <t>资产总计</t>
        </is>
      </c>
      <c r="D43" s="4">
        <f>D2+D23</f>
        <v/>
      </c>
      <c r="E43" s="4">
        <f>E2+E23</f>
        <v/>
      </c>
      <c r="F43" s="4">
        <f>F2+F23</f>
        <v/>
      </c>
      <c r="G43" s="4">
        <f>G2+G23</f>
        <v/>
      </c>
    </row>
    <row r="44">
      <c r="A44" s="2" t="n">
        <v>43</v>
      </c>
      <c r="B44" s="5" t="n"/>
      <c r="C44" s="2" t="inlineStr">
        <is>
          <t>流动负债合计</t>
        </is>
      </c>
      <c r="D44" s="4">
        <f>SUM(D45,D46,D47,D48,D49,D50,D51,D52,D53,D54,D55,D56,D57,D60,D61,D62)</f>
        <v/>
      </c>
      <c r="E44" s="4">
        <f>SUM(E45,E46,E47,E48,E49,E50,E51,E52,E53,E54,E55,E56,E57,E60,E61,E62)</f>
        <v/>
      </c>
      <c r="F44" s="4">
        <f>SUM(F45,F46,F47,F48,F49,F50,F51,F52,F53,F54,F55,F56,F57,F60,F61,F62)</f>
        <v/>
      </c>
      <c r="G44" s="4">
        <f>SUM(G45,G46,G47,G48,G49,G50,G51,G52,G53,G54,G55,G56,G57,G60,G61,G62)</f>
        <v/>
      </c>
    </row>
    <row r="45">
      <c r="A45" s="2" t="n">
        <v>44</v>
      </c>
      <c r="B45" s="5" t="n"/>
      <c r="C45" s="2" t="inlineStr">
        <is>
          <t>短期借款</t>
        </is>
      </c>
      <c r="D45" s="6" t="n"/>
      <c r="E45" s="6" t="n"/>
      <c r="F45" s="6" t="n"/>
      <c r="G45" s="6" t="n"/>
    </row>
    <row r="46">
      <c r="A46" s="2" t="n">
        <v>45</v>
      </c>
      <c r="B46" s="5" t="n"/>
      <c r="C46" s="2" t="inlineStr">
        <is>
          <t>向中央银行借款</t>
        </is>
      </c>
      <c r="D46" s="6" t="n"/>
      <c r="E46" s="6" t="n"/>
      <c r="F46" s="6" t="n"/>
      <c r="G46" s="6" t="n"/>
    </row>
    <row r="47">
      <c r="A47" s="2" t="n">
        <v>46</v>
      </c>
      <c r="B47" s="5" t="n"/>
      <c r="C47" s="2" t="inlineStr">
        <is>
          <t>拆入资金 / 吸收存款及同业存放</t>
        </is>
      </c>
      <c r="D47" s="6" t="n"/>
      <c r="E47" s="6" t="n"/>
      <c r="F47" s="6" t="n"/>
      <c r="G47" s="6" t="n"/>
    </row>
    <row r="48">
      <c r="A48" s="2" t="n">
        <v>47</v>
      </c>
      <c r="B48" s="5" t="n"/>
      <c r="C48" s="2" t="inlineStr">
        <is>
          <t>交易性金融负债</t>
        </is>
      </c>
      <c r="D48" s="6" t="n"/>
      <c r="E48" s="6" t="n"/>
      <c r="F48" s="6" t="n"/>
      <c r="G48" s="6" t="n"/>
    </row>
    <row r="49">
      <c r="A49" s="2" t="n">
        <v>48</v>
      </c>
      <c r="B49" s="5" t="n"/>
      <c r="C49" s="2" t="inlineStr">
        <is>
          <t>衍生金融负债</t>
        </is>
      </c>
      <c r="D49" s="6" t="n"/>
      <c r="E49" s="6" t="n"/>
      <c r="F49" s="6" t="n"/>
      <c r="G49" s="6" t="n"/>
    </row>
    <row r="50">
      <c r="A50" s="2" t="n">
        <v>49</v>
      </c>
      <c r="B50" s="5" t="n"/>
      <c r="C50" s="2" t="inlineStr">
        <is>
          <t>应付票据</t>
        </is>
      </c>
      <c r="D50" s="6" t="n"/>
      <c r="E50" s="6" t="n"/>
      <c r="F50" s="6" t="n"/>
      <c r="G50" s="6" t="n"/>
    </row>
    <row r="51">
      <c r="A51" s="2" t="n">
        <v>50</v>
      </c>
      <c r="B51" s="5" t="n"/>
      <c r="C51" s="2" t="inlineStr">
        <is>
          <t>应付账款</t>
        </is>
      </c>
      <c r="D51" s="6" t="n"/>
      <c r="E51" s="6" t="n"/>
      <c r="F51" s="6" t="n"/>
      <c r="G51" s="6" t="n"/>
    </row>
    <row r="52">
      <c r="A52" s="2" t="n">
        <v>51</v>
      </c>
      <c r="B52" s="5" t="n"/>
      <c r="C52" s="2" t="inlineStr">
        <is>
          <t>预收款项</t>
        </is>
      </c>
      <c r="D52" s="6" t="n"/>
      <c r="E52" s="6" t="n"/>
      <c r="F52" s="6" t="n"/>
      <c r="G52" s="6" t="n"/>
    </row>
    <row r="53">
      <c r="A53" s="2" t="n">
        <v>52</v>
      </c>
      <c r="B53" s="5" t="n"/>
      <c r="C53" s="2" t="inlineStr">
        <is>
          <t>合同负债</t>
        </is>
      </c>
      <c r="D53" s="6" t="n"/>
      <c r="E53" s="6" t="n"/>
      <c r="F53" s="6" t="n"/>
      <c r="G53" s="6" t="n"/>
    </row>
    <row r="54">
      <c r="A54" s="2" t="n">
        <v>53</v>
      </c>
      <c r="B54" s="5" t="n"/>
      <c r="C54" s="2" t="inlineStr">
        <is>
          <t>卖出回购金融资产款</t>
        </is>
      </c>
      <c r="D54" s="6" t="n"/>
      <c r="E54" s="6" t="n"/>
      <c r="F54" s="6" t="n"/>
      <c r="G54" s="6" t="n"/>
    </row>
    <row r="55">
      <c r="A55" s="2" t="n">
        <v>54</v>
      </c>
      <c r="B55" s="5" t="n"/>
      <c r="C55" s="2" t="inlineStr">
        <is>
          <t>应付职工薪酬</t>
        </is>
      </c>
      <c r="D55" s="6" t="n"/>
      <c r="E55" s="6" t="n"/>
      <c r="F55" s="6" t="n"/>
      <c r="G55" s="6" t="n"/>
    </row>
    <row r="56">
      <c r="A56" s="2" t="n">
        <v>55</v>
      </c>
      <c r="B56" s="5" t="n"/>
      <c r="C56" s="2" t="inlineStr">
        <is>
          <t>应交税费</t>
        </is>
      </c>
      <c r="D56" s="6" t="n"/>
      <c r="E56" s="6" t="n"/>
      <c r="F56" s="6" t="n"/>
      <c r="G56" s="6" t="n"/>
    </row>
    <row r="57">
      <c r="A57" s="2" t="n">
        <v>56</v>
      </c>
      <c r="B57" s="5" t="n"/>
      <c r="C57" s="2" t="inlineStr">
        <is>
          <t>其他应付款</t>
        </is>
      </c>
      <c r="D57" s="6" t="n"/>
      <c r="E57" s="6" t="n"/>
      <c r="F57" s="6" t="n"/>
      <c r="G57" s="6" t="n"/>
    </row>
    <row r="58">
      <c r="A58" s="2" t="n">
        <v>57</v>
      </c>
      <c r="B58" s="5" t="n"/>
      <c r="C58" s="2" t="inlineStr">
        <is>
          <t>其中：应付利息</t>
        </is>
      </c>
      <c r="D58" s="6" t="n"/>
      <c r="E58" s="6" t="n"/>
      <c r="F58" s="6" t="n"/>
      <c r="G58" s="6" t="n"/>
    </row>
    <row r="59">
      <c r="A59" s="2" t="n">
        <v>58</v>
      </c>
      <c r="B59" s="5" t="n"/>
      <c r="C59" s="2" t="inlineStr">
        <is>
          <t>其中：应付股利</t>
        </is>
      </c>
      <c r="D59" s="6" t="n"/>
      <c r="E59" s="6" t="n"/>
      <c r="F59" s="6" t="n"/>
      <c r="G59" s="6" t="n"/>
    </row>
    <row r="60">
      <c r="A60" s="2" t="n">
        <v>59</v>
      </c>
      <c r="B60" s="5" t="n"/>
      <c r="C60" s="2" t="inlineStr">
        <is>
          <t>持有待售负债</t>
        </is>
      </c>
      <c r="D60" s="6" t="n"/>
      <c r="E60" s="6" t="n"/>
      <c r="F60" s="6" t="n"/>
      <c r="G60" s="6" t="n"/>
    </row>
    <row r="61">
      <c r="A61" s="2" t="n">
        <v>60</v>
      </c>
      <c r="B61" s="5" t="n"/>
      <c r="C61" s="2" t="inlineStr">
        <is>
          <t>一年内到期的非流动负债</t>
        </is>
      </c>
      <c r="D61" s="6" t="n"/>
      <c r="E61" s="6" t="n"/>
      <c r="F61" s="6" t="n"/>
      <c r="G61" s="6" t="n"/>
    </row>
    <row r="62">
      <c r="A62" s="2" t="n">
        <v>61</v>
      </c>
      <c r="B62" s="5" t="n"/>
      <c r="C62" s="2" t="inlineStr">
        <is>
          <t>其他流动负债</t>
        </is>
      </c>
      <c r="D62" s="6" t="n"/>
      <c r="E62" s="6" t="n"/>
      <c r="F62" s="6" t="n"/>
      <c r="G62" s="6" t="n"/>
    </row>
    <row r="63">
      <c r="A63" s="2" t="n">
        <v>62</v>
      </c>
      <c r="B63" s="5" t="n"/>
      <c r="C63" s="2" t="inlineStr">
        <is>
          <t>非流动负债合计</t>
        </is>
      </c>
      <c r="D63" s="4">
        <f>SUM(D64,D65,D68,D69,D70,D71,D72,D73,D74)</f>
        <v/>
      </c>
      <c r="E63" s="4">
        <f>SUM(E64,E65,E68,E69,E70,E71,E72,E73,E74)</f>
        <v/>
      </c>
      <c r="F63" s="4">
        <f>SUM(F64,F65,F68,F69,F70,F71,F72,F73,F74)</f>
        <v/>
      </c>
      <c r="G63" s="4">
        <f>SUM(G64,G65,G68,G69,G70,G71,G72,G73,G74)</f>
        <v/>
      </c>
    </row>
    <row r="64">
      <c r="A64" s="2" t="n">
        <v>63</v>
      </c>
      <c r="B64" s="5" t="n"/>
      <c r="C64" s="2" t="inlineStr">
        <is>
          <t>长期借款</t>
        </is>
      </c>
      <c r="D64" s="6" t="n"/>
      <c r="E64" s="6" t="n"/>
      <c r="F64" s="6" t="n"/>
      <c r="G64" s="6" t="n"/>
    </row>
    <row r="65">
      <c r="A65" s="2" t="n">
        <v>64</v>
      </c>
      <c r="B65" s="5" t="n"/>
      <c r="C65" s="2" t="inlineStr">
        <is>
          <t>应付债券</t>
        </is>
      </c>
      <c r="D65" s="6" t="n"/>
      <c r="E65" s="6" t="n"/>
      <c r="F65" s="6" t="n"/>
      <c r="G65" s="6" t="n"/>
    </row>
    <row r="66">
      <c r="A66" s="2" t="n">
        <v>65</v>
      </c>
      <c r="B66" s="5" t="n"/>
      <c r="C66" s="2" t="inlineStr">
        <is>
          <t>其中：优先股</t>
        </is>
      </c>
      <c r="D66" s="6" t="n"/>
      <c r="E66" s="6" t="n"/>
      <c r="F66" s="6" t="n"/>
      <c r="G66" s="6" t="n"/>
    </row>
    <row r="67">
      <c r="A67" s="2" t="n">
        <v>66</v>
      </c>
      <c r="B67" s="5" t="n"/>
      <c r="C67" s="2" t="inlineStr">
        <is>
          <t>其中：永续债</t>
        </is>
      </c>
      <c r="D67" s="6" t="n"/>
      <c r="E67" s="6" t="n"/>
      <c r="F67" s="6" t="n"/>
      <c r="G67" s="6" t="n"/>
    </row>
    <row r="68">
      <c r="A68" s="2" t="n">
        <v>67</v>
      </c>
      <c r="B68" s="5" t="n"/>
      <c r="C68" s="2" t="inlineStr">
        <is>
          <t>租赁负债</t>
        </is>
      </c>
      <c r="D68" s="6" t="n"/>
      <c r="E68" s="6" t="n"/>
      <c r="F68" s="6" t="n"/>
      <c r="G68" s="6" t="n"/>
    </row>
    <row r="69">
      <c r="A69" s="2" t="n">
        <v>68</v>
      </c>
      <c r="B69" s="5" t="n"/>
      <c r="C69" s="2" t="inlineStr">
        <is>
          <t>长期应付款</t>
        </is>
      </c>
      <c r="D69" s="6" t="n"/>
      <c r="E69" s="6" t="n"/>
      <c r="F69" s="6" t="n"/>
      <c r="G69" s="6" t="n"/>
    </row>
    <row r="70">
      <c r="A70" s="2" t="n">
        <v>69</v>
      </c>
      <c r="B70" s="5" t="n"/>
      <c r="C70" s="2" t="inlineStr">
        <is>
          <t>长期应付职工薪酬</t>
        </is>
      </c>
      <c r="D70" s="6" t="n"/>
      <c r="E70" s="6" t="n"/>
      <c r="F70" s="6" t="n"/>
      <c r="G70" s="6" t="n"/>
    </row>
    <row r="71">
      <c r="A71" s="2" t="n">
        <v>70</v>
      </c>
      <c r="B71" s="5" t="n"/>
      <c r="C71" s="2" t="inlineStr">
        <is>
          <t>预计负债</t>
        </is>
      </c>
      <c r="D71" s="6" t="n"/>
      <c r="E71" s="6" t="n"/>
      <c r="F71" s="6" t="n"/>
      <c r="G71" s="6" t="n"/>
    </row>
    <row r="72">
      <c r="A72" s="2" t="n">
        <v>71</v>
      </c>
      <c r="B72" s="5" t="n"/>
      <c r="C72" s="2" t="inlineStr">
        <is>
          <t>递延收益</t>
        </is>
      </c>
      <c r="D72" s="6" t="n"/>
      <c r="E72" s="6" t="n"/>
      <c r="F72" s="6" t="n"/>
      <c r="G72" s="6" t="n"/>
    </row>
    <row r="73">
      <c r="A73" s="2" t="n">
        <v>72</v>
      </c>
      <c r="B73" s="5" t="n"/>
      <c r="C73" s="2" t="inlineStr">
        <is>
          <t>递延所得税负债</t>
        </is>
      </c>
      <c r="D73" s="6" t="n"/>
      <c r="E73" s="6" t="n"/>
      <c r="F73" s="6" t="n"/>
      <c r="G73" s="6" t="n"/>
    </row>
    <row r="74">
      <c r="A74" s="2" t="n">
        <v>73</v>
      </c>
      <c r="B74" s="5" t="n"/>
      <c r="C74" s="2" t="inlineStr">
        <is>
          <t>其他非流动负债</t>
        </is>
      </c>
      <c r="D74" s="6" t="n"/>
      <c r="E74" s="6" t="n"/>
      <c r="F74" s="6" t="n"/>
      <c r="G74" s="6" t="n"/>
    </row>
    <row r="75">
      <c r="A75" s="2" t="n">
        <v>74</v>
      </c>
      <c r="B75" s="5" t="n"/>
      <c r="C75" s="2" t="inlineStr">
        <is>
          <t>负债合计</t>
        </is>
      </c>
      <c r="D75" s="4">
        <f>D44+D63</f>
        <v/>
      </c>
      <c r="E75" s="4">
        <f>E44+E63</f>
        <v/>
      </c>
      <c r="F75" s="4">
        <f>F44+F63</f>
        <v/>
      </c>
      <c r="G75" s="4">
        <f>G44+G63</f>
        <v/>
      </c>
    </row>
    <row r="76">
      <c r="A76" s="2" t="n">
        <v>75</v>
      </c>
      <c r="B76" s="5" t="n"/>
      <c r="C76" s="2" t="inlineStr">
        <is>
          <t>所有者权益合计</t>
        </is>
      </c>
      <c r="D76" s="4">
        <f>D88+D89</f>
        <v/>
      </c>
      <c r="E76" s="4">
        <f>E88+E89</f>
        <v/>
      </c>
      <c r="F76" s="4">
        <f>F88+F89</f>
        <v/>
      </c>
      <c r="G76" s="4">
        <f>G88+G89</f>
        <v/>
      </c>
    </row>
    <row r="77">
      <c r="A77" s="2" t="n">
        <v>76</v>
      </c>
      <c r="B77" s="5" t="n"/>
      <c r="C77" s="2" t="inlineStr">
        <is>
          <t>实收资本 (或股本)</t>
        </is>
      </c>
      <c r="D77" s="6" t="n"/>
      <c r="E77" s="6" t="n"/>
      <c r="F77" s="6" t="n"/>
      <c r="G77" s="6" t="n"/>
    </row>
    <row r="78">
      <c r="A78" s="2" t="n">
        <v>77</v>
      </c>
      <c r="B78" s="5" t="n"/>
      <c r="C78" s="2" t="inlineStr">
        <is>
          <t>其他权益工具</t>
        </is>
      </c>
      <c r="D78" s="6" t="n"/>
      <c r="E78" s="6" t="n"/>
      <c r="F78" s="6" t="n"/>
      <c r="G78" s="6" t="n"/>
    </row>
    <row r="79">
      <c r="A79" s="2" t="n">
        <v>78</v>
      </c>
      <c r="B79" s="5" t="n"/>
      <c r="C79" s="2" t="inlineStr">
        <is>
          <t>其中：优先股 (权益类)</t>
        </is>
      </c>
      <c r="D79" s="6" t="n"/>
      <c r="E79" s="6" t="n"/>
      <c r="F79" s="6" t="n"/>
      <c r="G79" s="6" t="n"/>
    </row>
    <row r="80">
      <c r="A80" s="2" t="n">
        <v>79</v>
      </c>
      <c r="B80" s="5" t="n"/>
      <c r="C80" s="2" t="inlineStr">
        <is>
          <t>其中：永续债 (权益类)</t>
        </is>
      </c>
      <c r="D80" s="6" t="n"/>
      <c r="E80" s="6" t="n"/>
      <c r="F80" s="6" t="n"/>
      <c r="G80" s="6" t="n"/>
    </row>
    <row r="81">
      <c r="A81" s="2" t="n">
        <v>80</v>
      </c>
      <c r="B81" s="5" t="n"/>
      <c r="C81" s="2" t="inlineStr">
        <is>
          <t>资本公积</t>
        </is>
      </c>
      <c r="D81" s="6" t="n"/>
      <c r="E81" s="6" t="n"/>
      <c r="F81" s="6" t="n"/>
      <c r="G81" s="6" t="n"/>
    </row>
    <row r="82">
      <c r="A82" s="2" t="n">
        <v>81</v>
      </c>
      <c r="B82" s="5" t="n"/>
      <c r="C82" s="2" t="inlineStr">
        <is>
          <t>减：库存股</t>
        </is>
      </c>
      <c r="D82" s="6" t="n"/>
      <c r="E82" s="6" t="n"/>
      <c r="F82" s="6" t="n"/>
      <c r="G82" s="6" t="n"/>
    </row>
    <row r="83">
      <c r="A83" s="2" t="n">
        <v>82</v>
      </c>
      <c r="B83" s="5" t="n"/>
      <c r="C83" s="2" t="inlineStr">
        <is>
          <t>其他综合收益</t>
        </is>
      </c>
      <c r="D83" s="6" t="n"/>
      <c r="E83" s="6" t="n"/>
      <c r="F83" s="6" t="n"/>
      <c r="G83" s="6" t="n"/>
    </row>
    <row r="84">
      <c r="A84" s="2" t="n">
        <v>83</v>
      </c>
      <c r="B84" s="5" t="n"/>
      <c r="C84" s="2" t="inlineStr">
        <is>
          <t>专项储备</t>
        </is>
      </c>
      <c r="D84" s="6" t="n"/>
      <c r="E84" s="6" t="n"/>
      <c r="F84" s="6" t="n"/>
      <c r="G84" s="6" t="n"/>
    </row>
    <row r="85">
      <c r="A85" s="2" t="n">
        <v>84</v>
      </c>
      <c r="B85" s="5" t="n"/>
      <c r="C85" s="2" t="inlineStr">
        <is>
          <t>盈余公积</t>
        </is>
      </c>
      <c r="D85" s="6" t="n"/>
      <c r="E85" s="6" t="n"/>
      <c r="F85" s="6" t="n"/>
      <c r="G85" s="6" t="n"/>
    </row>
    <row r="86">
      <c r="A86" s="2" t="n">
        <v>85</v>
      </c>
      <c r="B86" s="5" t="n"/>
      <c r="C86" s="2" t="inlineStr">
        <is>
          <t>一般风险准备</t>
        </is>
      </c>
      <c r="D86" s="6" t="n"/>
      <c r="E86" s="6" t="n"/>
      <c r="F86" s="6" t="n"/>
      <c r="G86" s="6" t="n"/>
    </row>
    <row r="87">
      <c r="A87" s="2" t="n">
        <v>86</v>
      </c>
      <c r="B87" s="5" t="n"/>
      <c r="C87" s="2" t="inlineStr">
        <is>
          <t>未分配利润</t>
        </is>
      </c>
      <c r="D87" s="6" t="n"/>
      <c r="E87" s="6" t="n"/>
      <c r="F87" s="6" t="n"/>
      <c r="G87" s="6" t="n"/>
    </row>
    <row r="88">
      <c r="A88" s="2" t="n">
        <v>87</v>
      </c>
      <c r="B88" s="5" t="n"/>
      <c r="C88" s="2" t="inlineStr">
        <is>
          <t>归属于母公司所有者权益合计</t>
        </is>
      </c>
      <c r="D88" s="4">
        <f>SUM(D77,D78,D81,D83,D84,D85,D86,D87)-SUM(D82)</f>
        <v/>
      </c>
      <c r="E88" s="4">
        <f>SUM(E77,E78,E81,E83,E84,E85,E86,E87)-SUM(E82)</f>
        <v/>
      </c>
      <c r="F88" s="4">
        <f>SUM(F77,F78,F81,F83,F84,F85,F86,F87)-SUM(F82)</f>
        <v/>
      </c>
      <c r="G88" s="4">
        <f>SUM(G77,G78,G81,G83,G84,G85,G86,G87)-SUM(G82)</f>
        <v/>
      </c>
    </row>
    <row r="89">
      <c r="A89" s="2" t="n">
        <v>88</v>
      </c>
      <c r="B89" s="5" t="n"/>
      <c r="C89" s="2" t="inlineStr">
        <is>
          <t>少数股东权益</t>
        </is>
      </c>
      <c r="D89" s="6" t="n"/>
      <c r="E89" s="6" t="n"/>
      <c r="F89" s="6" t="n"/>
      <c r="G89" s="6" t="n"/>
    </row>
    <row r="90">
      <c r="A90" s="2" t="n">
        <v>89</v>
      </c>
      <c r="B90" s="5" t="n"/>
      <c r="C90" s="2" t="inlineStr">
        <is>
          <t>负债和所有者权益总计</t>
        </is>
      </c>
      <c r="D90" s="4">
        <f>D75+D76</f>
        <v/>
      </c>
      <c r="E90" s="4">
        <f>E75+E76</f>
        <v/>
      </c>
      <c r="F90" s="4">
        <f>F75+F76</f>
        <v/>
      </c>
      <c r="G90" s="4">
        <f>G75+G76</f>
        <v/>
      </c>
    </row>
    <row r="91">
      <c r="A91" s="2" t="n">
        <v>90</v>
      </c>
      <c r="B91" s="7" t="n"/>
      <c r="C91" s="2" t="inlineStr">
        <is>
          <t>【配平检查】资产 - (负债+权益)</t>
        </is>
      </c>
      <c r="D91" s="8">
        <f>D43-D90</f>
        <v/>
      </c>
      <c r="E91" s="8">
        <f>E43-E90</f>
        <v/>
      </c>
      <c r="F91" s="8">
        <f>F43-F90</f>
        <v/>
      </c>
      <c r="G91" s="8">
        <f>G43-G90</f>
        <v/>
      </c>
    </row>
    <row r="92">
      <c r="A92" s="2" t="inlineStr"/>
      <c r="B92" s="3" t="inlineStr"/>
      <c r="C92" s="2" t="inlineStr"/>
      <c r="D92" s="9" t="n"/>
      <c r="E92" s="9" t="n"/>
      <c r="F92" s="9" t="n"/>
      <c r="G92" s="9" t="n"/>
    </row>
    <row r="93">
      <c r="A93" s="2" t="n">
        <v>91</v>
      </c>
      <c r="B93" s="3" t="inlineStr">
        <is>
          <t>利润表</t>
        </is>
      </c>
      <c r="C93" s="2" t="inlineStr">
        <is>
          <t>营业总收入</t>
        </is>
      </c>
      <c r="D93" s="6" t="n"/>
      <c r="E93" s="6" t="n"/>
      <c r="F93" s="6" t="n"/>
      <c r="G93" s="6" t="n"/>
    </row>
    <row r="94">
      <c r="A94" s="2" t="n">
        <v>92</v>
      </c>
      <c r="B94" s="5" t="n"/>
      <c r="C94" s="2" t="inlineStr">
        <is>
          <t>营业收入</t>
        </is>
      </c>
      <c r="D94" s="6" t="n"/>
      <c r="E94" s="6" t="n"/>
      <c r="F94" s="6" t="n"/>
      <c r="G94" s="6" t="n"/>
    </row>
    <row r="95">
      <c r="A95" s="2" t="n">
        <v>93</v>
      </c>
      <c r="B95" s="5" t="n"/>
      <c r="C95" s="2" t="inlineStr">
        <is>
          <t>利息收入 / 手续费及佣金收入</t>
        </is>
      </c>
      <c r="D95" s="6" t="n"/>
      <c r="E95" s="6" t="n"/>
      <c r="F95" s="6" t="n"/>
      <c r="G95" s="6" t="n"/>
    </row>
    <row r="96">
      <c r="A96" s="2" t="n">
        <v>94</v>
      </c>
      <c r="B96" s="5" t="n"/>
      <c r="C96" s="2" t="inlineStr">
        <is>
          <t>营业总成本</t>
        </is>
      </c>
      <c r="D96" s="6" t="n"/>
      <c r="E96" s="6" t="n"/>
      <c r="F96" s="6" t="n"/>
      <c r="G96" s="6" t="n"/>
    </row>
    <row r="97">
      <c r="A97" s="2" t="n">
        <v>95</v>
      </c>
      <c r="B97" s="5" t="n"/>
      <c r="C97" s="2" t="inlineStr">
        <is>
          <t>营业成本</t>
        </is>
      </c>
      <c r="D97" s="6" t="n"/>
      <c r="E97" s="6" t="n"/>
      <c r="F97" s="6" t="n"/>
      <c r="G97" s="6" t="n"/>
    </row>
    <row r="98">
      <c r="A98" s="2" t="n">
        <v>96</v>
      </c>
      <c r="B98" s="5" t="n"/>
      <c r="C98" s="2" t="inlineStr">
        <is>
          <t>利息支出 / 手续费及佣金支出</t>
        </is>
      </c>
      <c r="D98" s="6" t="n"/>
      <c r="E98" s="6" t="n"/>
      <c r="F98" s="6" t="n"/>
      <c r="G98" s="6" t="n"/>
    </row>
    <row r="99">
      <c r="A99" s="2" t="n">
        <v>97</v>
      </c>
      <c r="B99" s="5" t="n"/>
      <c r="C99" s="2" t="inlineStr">
        <is>
          <t>税金及附加</t>
        </is>
      </c>
      <c r="D99" s="6" t="n"/>
      <c r="E99" s="6" t="n"/>
      <c r="F99" s="6" t="n"/>
      <c r="G99" s="6" t="n"/>
    </row>
    <row r="100">
      <c r="A100" s="2" t="n">
        <v>98</v>
      </c>
      <c r="B100" s="5" t="n"/>
      <c r="C100" s="2" t="inlineStr">
        <is>
          <t>销售费用</t>
        </is>
      </c>
      <c r="D100" s="6" t="n"/>
      <c r="E100" s="6" t="n"/>
      <c r="F100" s="6" t="n"/>
      <c r="G100" s="6" t="n"/>
    </row>
    <row r="101">
      <c r="A101" s="2" t="n">
        <v>99</v>
      </c>
      <c r="B101" s="5" t="n"/>
      <c r="C101" s="2" t="inlineStr">
        <is>
          <t>管理费用</t>
        </is>
      </c>
      <c r="D101" s="6" t="n"/>
      <c r="E101" s="6" t="n"/>
      <c r="F101" s="6" t="n"/>
      <c r="G101" s="6" t="n"/>
    </row>
    <row r="102">
      <c r="A102" s="2" t="n">
        <v>100</v>
      </c>
      <c r="B102" s="5" t="n"/>
      <c r="C102" s="2" t="inlineStr">
        <is>
          <t>研发费用</t>
        </is>
      </c>
      <c r="D102" s="6" t="n"/>
      <c r="E102" s="6" t="n"/>
      <c r="F102" s="6" t="n"/>
      <c r="G102" s="6" t="n"/>
    </row>
    <row r="103">
      <c r="A103" s="2" t="n">
        <v>101</v>
      </c>
      <c r="B103" s="5" t="n"/>
      <c r="C103" s="2" t="inlineStr">
        <is>
          <t>财务费用</t>
        </is>
      </c>
      <c r="D103" s="6" t="n"/>
      <c r="E103" s="6" t="n"/>
      <c r="F103" s="6" t="n"/>
      <c r="G103" s="6" t="n"/>
    </row>
    <row r="104">
      <c r="A104" s="2" t="n">
        <v>102</v>
      </c>
      <c r="B104" s="5" t="n"/>
      <c r="C104" s="2" t="inlineStr">
        <is>
          <t>其中：利息费用</t>
        </is>
      </c>
      <c r="D104" s="6" t="n"/>
      <c r="E104" s="6" t="n"/>
      <c r="F104" s="6" t="n"/>
      <c r="G104" s="6" t="n"/>
    </row>
    <row r="105">
      <c r="A105" s="2" t="n">
        <v>103</v>
      </c>
      <c r="B105" s="5" t="n"/>
      <c r="C105" s="2" t="inlineStr">
        <is>
          <t>其中：利息收入</t>
        </is>
      </c>
      <c r="D105" s="6" t="n"/>
      <c r="E105" s="6" t="n"/>
      <c r="F105" s="6" t="n"/>
      <c r="G105" s="6" t="n"/>
    </row>
    <row r="106">
      <c r="A106" s="2" t="n">
        <v>104</v>
      </c>
      <c r="B106" s="5" t="n"/>
      <c r="C106" s="2" t="inlineStr">
        <is>
          <t>加：其他收益</t>
        </is>
      </c>
      <c r="D106" s="6" t="n"/>
      <c r="E106" s="6" t="n"/>
      <c r="F106" s="6" t="n"/>
      <c r="G106" s="6" t="n"/>
    </row>
    <row r="107">
      <c r="A107" s="2" t="n">
        <v>105</v>
      </c>
      <c r="B107" s="5" t="n"/>
      <c r="C107" s="2" t="inlineStr">
        <is>
          <t>投资收益</t>
        </is>
      </c>
      <c r="D107" s="6" t="n"/>
      <c r="E107" s="6" t="n"/>
      <c r="F107" s="6" t="n"/>
      <c r="G107" s="6" t="n"/>
    </row>
    <row r="108">
      <c r="A108" s="2" t="n">
        <v>106</v>
      </c>
      <c r="B108" s="5" t="n"/>
      <c r="C108" s="2" t="inlineStr">
        <is>
          <t>其中：对联营企业和合营企业的投资收益</t>
        </is>
      </c>
      <c r="D108" s="6" t="n"/>
      <c r="E108" s="6" t="n"/>
      <c r="F108" s="6" t="n"/>
      <c r="G108" s="6" t="n"/>
    </row>
    <row r="109">
      <c r="A109" s="2" t="n">
        <v>107</v>
      </c>
      <c r="B109" s="5" t="n"/>
      <c r="C109" s="2" t="inlineStr">
        <is>
          <t>以摊余成本计量的金融资产终止确认收益</t>
        </is>
      </c>
      <c r="D109" s="6" t="n"/>
      <c r="E109" s="6" t="n"/>
      <c r="F109" s="6" t="n"/>
      <c r="G109" s="6" t="n"/>
    </row>
    <row r="110">
      <c r="A110" s="2" t="n">
        <v>108</v>
      </c>
      <c r="B110" s="5" t="n"/>
      <c r="C110" s="2" t="inlineStr">
        <is>
          <t>净敞口套期收益 / 汇兑收益</t>
        </is>
      </c>
      <c r="D110" s="6" t="n"/>
      <c r="E110" s="6" t="n"/>
      <c r="F110" s="6" t="n"/>
      <c r="G110" s="6" t="n"/>
    </row>
    <row r="111">
      <c r="A111" s="2" t="n">
        <v>109</v>
      </c>
      <c r="B111" s="5" t="n"/>
      <c r="C111" s="2" t="inlineStr">
        <is>
          <t>公允价值变动收益</t>
        </is>
      </c>
      <c r="D111" s="6" t="n"/>
      <c r="E111" s="6" t="n"/>
      <c r="F111" s="6" t="n"/>
      <c r="G111" s="6" t="n"/>
    </row>
    <row r="112">
      <c r="A112" s="2" t="n">
        <v>110</v>
      </c>
      <c r="B112" s="5" t="n"/>
      <c r="C112" s="2" t="inlineStr">
        <is>
          <t>信用减值损失</t>
        </is>
      </c>
      <c r="D112" s="6" t="n"/>
      <c r="E112" s="6" t="n"/>
      <c r="F112" s="6" t="n"/>
      <c r="G112" s="6" t="n"/>
    </row>
    <row r="113">
      <c r="A113" s="2" t="n">
        <v>111</v>
      </c>
      <c r="B113" s="5" t="n"/>
      <c r="C113" s="2" t="inlineStr">
        <is>
          <t>资产减值损失</t>
        </is>
      </c>
      <c r="D113" s="6" t="n"/>
      <c r="E113" s="6" t="n"/>
      <c r="F113" s="6" t="n"/>
      <c r="G113" s="6" t="n"/>
    </row>
    <row r="114">
      <c r="A114" s="2" t="n">
        <v>112</v>
      </c>
      <c r="B114" s="5" t="n"/>
      <c r="C114" s="2" t="inlineStr">
        <is>
          <t>资产处置收益</t>
        </is>
      </c>
      <c r="D114" s="6" t="n"/>
      <c r="E114" s="6" t="n"/>
      <c r="F114" s="6" t="n"/>
      <c r="G114" s="6" t="n"/>
    </row>
    <row r="115">
      <c r="A115" s="2" t="n">
        <v>113</v>
      </c>
      <c r="B115" s="5" t="n"/>
      <c r="C115" s="2" t="inlineStr">
        <is>
          <t>营业利润</t>
        </is>
      </c>
      <c r="D115" s="4">
        <f>D93-D96+D106+D107+D111-D112-D113+D114</f>
        <v/>
      </c>
      <c r="E115" s="4">
        <f>E93-E96+E106+E107+E111-E112-E113+E114</f>
        <v/>
      </c>
      <c r="F115" s="4">
        <f>F93-F96+F106+F107+F111-F112-F113+F114</f>
        <v/>
      </c>
      <c r="G115" s="4">
        <f>G93-G96+G106+G107+G111-G112-G113+G114</f>
        <v/>
      </c>
    </row>
    <row r="116">
      <c r="A116" s="2" t="n">
        <v>114</v>
      </c>
      <c r="B116" s="5" t="n"/>
      <c r="C116" s="2" t="inlineStr">
        <is>
          <t>加：营业外收入</t>
        </is>
      </c>
      <c r="D116" s="6" t="n"/>
      <c r="E116" s="6" t="n"/>
      <c r="F116" s="6" t="n"/>
      <c r="G116" s="6" t="n"/>
    </row>
    <row r="117">
      <c r="A117" s="2" t="n">
        <v>115</v>
      </c>
      <c r="B117" s="5" t="n"/>
      <c r="C117" s="2" t="inlineStr">
        <is>
          <t>减：营业外支出</t>
        </is>
      </c>
      <c r="D117" s="6" t="n"/>
      <c r="E117" s="6" t="n"/>
      <c r="F117" s="6" t="n"/>
      <c r="G117" s="6" t="n"/>
    </row>
    <row r="118">
      <c r="A118" s="2" t="n">
        <v>116</v>
      </c>
      <c r="B118" s="5" t="n"/>
      <c r="C118" s="2" t="inlineStr">
        <is>
          <t>利润总额</t>
        </is>
      </c>
      <c r="D118" s="4">
        <f>D115+D116-D117</f>
        <v/>
      </c>
      <c r="E118" s="4">
        <f>E115+E116-E117</f>
        <v/>
      </c>
      <c r="F118" s="4">
        <f>F115+F116-F117</f>
        <v/>
      </c>
      <c r="G118" s="4">
        <f>G115+G116-G117</f>
        <v/>
      </c>
    </row>
    <row r="119">
      <c r="A119" s="2" t="n">
        <v>117</v>
      </c>
      <c r="B119" s="5" t="n"/>
      <c r="C119" s="2" t="inlineStr">
        <is>
          <t>减：所得税费用</t>
        </is>
      </c>
      <c r="D119" s="6" t="n"/>
      <c r="E119" s="6" t="n"/>
      <c r="F119" s="6" t="n"/>
      <c r="G119" s="6" t="n"/>
    </row>
    <row r="120">
      <c r="A120" s="2" t="n">
        <v>118</v>
      </c>
      <c r="B120" s="5" t="n"/>
      <c r="C120" s="2" t="inlineStr">
        <is>
          <t>净利润</t>
        </is>
      </c>
      <c r="D120" s="4">
        <f>D118-D119</f>
        <v/>
      </c>
      <c r="E120" s="4">
        <f>E118-E119</f>
        <v/>
      </c>
      <c r="F120" s="4">
        <f>F118-F119</f>
        <v/>
      </c>
      <c r="G120" s="4">
        <f>G118-G119</f>
        <v/>
      </c>
    </row>
    <row r="121">
      <c r="A121" s="2" t="n">
        <v>119</v>
      </c>
      <c r="B121" s="5" t="n"/>
      <c r="C121" s="2" t="inlineStr">
        <is>
          <t>归属于母公司所有者的净利润</t>
        </is>
      </c>
      <c r="D121" s="6" t="n"/>
      <c r="E121" s="6" t="n"/>
      <c r="F121" s="6" t="n"/>
      <c r="G121" s="6" t="n"/>
    </row>
    <row r="122">
      <c r="A122" s="2" t="n">
        <v>120</v>
      </c>
      <c r="B122" s="5" t="n"/>
      <c r="C122" s="2" t="inlineStr">
        <is>
          <t>少数股东损益</t>
        </is>
      </c>
      <c r="D122" s="6" t="n"/>
      <c r="E122" s="6" t="n"/>
      <c r="F122" s="6" t="n"/>
      <c r="G122" s="6" t="n"/>
    </row>
    <row r="123">
      <c r="A123" s="2" t="n">
        <v>121</v>
      </c>
      <c r="B123" s="5" t="n"/>
      <c r="C123" s="2" t="inlineStr">
        <is>
          <t>综合收益总额</t>
        </is>
      </c>
      <c r="D123" s="6" t="n"/>
      <c r="E123" s="6" t="n"/>
      <c r="F123" s="6" t="n"/>
      <c r="G123" s="6" t="n"/>
    </row>
    <row r="124">
      <c r="A124" s="2" t="n">
        <v>122</v>
      </c>
      <c r="B124" s="7" t="n"/>
      <c r="C124" s="2" t="inlineStr">
        <is>
          <t>【利润勾稽】净利润 - (归母+少数)</t>
        </is>
      </c>
      <c r="D124" s="8">
        <f>D120-(D121+D122)</f>
        <v/>
      </c>
      <c r="E124" s="8">
        <f>E120-(E121+E122)</f>
        <v/>
      </c>
      <c r="F124" s="8">
        <f>F120-(F121+F122)</f>
        <v/>
      </c>
      <c r="G124" s="8">
        <f>G120-(G121+G122)</f>
        <v/>
      </c>
    </row>
    <row r="125">
      <c r="A125" s="2" t="inlineStr"/>
      <c r="B125" s="3" t="inlineStr"/>
      <c r="C125" s="2" t="inlineStr"/>
      <c r="D125" s="9" t="n"/>
      <c r="E125" s="9" t="n"/>
      <c r="F125" s="9" t="n"/>
      <c r="G125" s="9" t="n"/>
    </row>
    <row r="126">
      <c r="A126" s="2" t="n">
        <v>123</v>
      </c>
      <c r="B126" s="3" t="inlineStr">
        <is>
          <t>现金流量表</t>
        </is>
      </c>
      <c r="C126" s="2" t="inlineStr">
        <is>
          <t>经营活动产生的现金流量：</t>
        </is>
      </c>
      <c r="D126" s="6" t="n"/>
      <c r="E126" s="6" t="n"/>
      <c r="F126" s="6" t="n"/>
      <c r="G126" s="6" t="n"/>
    </row>
    <row r="127">
      <c r="A127" s="2" t="n">
        <v>124</v>
      </c>
      <c r="B127" s="5" t="n"/>
      <c r="C127" s="2" t="inlineStr">
        <is>
          <t>销售商品、提供劳务收到的现金</t>
        </is>
      </c>
      <c r="D127" s="6" t="n"/>
      <c r="E127" s="6" t="n"/>
      <c r="F127" s="6" t="n"/>
      <c r="G127" s="6" t="n"/>
    </row>
    <row r="128">
      <c r="A128" s="2" t="n">
        <v>125</v>
      </c>
      <c r="B128" s="5" t="n"/>
      <c r="C128" s="2" t="inlineStr">
        <is>
          <t>客户存款和同业存放款项净增加额</t>
        </is>
      </c>
      <c r="D128" s="6" t="n"/>
      <c r="E128" s="6" t="n"/>
      <c r="F128" s="6" t="n"/>
      <c r="G128" s="6" t="n"/>
    </row>
    <row r="129">
      <c r="A129" s="2" t="n">
        <v>126</v>
      </c>
      <c r="B129" s="5" t="n"/>
      <c r="C129" s="2" t="inlineStr">
        <is>
          <t>向中央银行借款净增加额 / 拆入资金净增加额</t>
        </is>
      </c>
      <c r="D129" s="6" t="n"/>
      <c r="E129" s="6" t="n"/>
      <c r="F129" s="6" t="n"/>
      <c r="G129" s="6" t="n"/>
    </row>
    <row r="130">
      <c r="A130" s="2" t="n">
        <v>127</v>
      </c>
      <c r="B130" s="5" t="n"/>
      <c r="C130" s="2" t="inlineStr">
        <is>
          <t>收取利息、手续费及佣金的现金</t>
        </is>
      </c>
      <c r="D130" s="6" t="n"/>
      <c r="E130" s="6" t="n"/>
      <c r="F130" s="6" t="n"/>
      <c r="G130" s="6" t="n"/>
    </row>
    <row r="131">
      <c r="A131" s="2" t="n">
        <v>128</v>
      </c>
      <c r="B131" s="5" t="n"/>
      <c r="C131" s="2" t="inlineStr">
        <is>
          <t>收到的税费返还</t>
        </is>
      </c>
      <c r="D131" s="6" t="n"/>
      <c r="E131" s="6" t="n"/>
      <c r="F131" s="6" t="n"/>
      <c r="G131" s="6" t="n"/>
    </row>
    <row r="132">
      <c r="A132" s="2" t="n">
        <v>129</v>
      </c>
      <c r="B132" s="5" t="n"/>
      <c r="C132" s="2" t="inlineStr">
        <is>
          <t>收到其他与经营活动有关的现金</t>
        </is>
      </c>
      <c r="D132" s="6" t="n"/>
      <c r="E132" s="6" t="n"/>
      <c r="F132" s="6" t="n"/>
      <c r="G132" s="6" t="n"/>
    </row>
    <row r="133">
      <c r="A133" s="2" t="n">
        <v>130</v>
      </c>
      <c r="B133" s="5" t="n"/>
      <c r="C133" s="2" t="inlineStr">
        <is>
          <t>经营活动现金流入小计</t>
        </is>
      </c>
      <c r="D133" s="4">
        <f>SUM(D127,D128,D129,D130,D131,D132)</f>
        <v/>
      </c>
      <c r="E133" s="4">
        <f>SUM(E127,E128,E129,E130,E131,E132)</f>
        <v/>
      </c>
      <c r="F133" s="4">
        <f>SUM(F127,F128,F129,F130,F131,F132)</f>
        <v/>
      </c>
      <c r="G133" s="4">
        <f>SUM(G127,G128,G129,G130,G131,G132)</f>
        <v/>
      </c>
    </row>
    <row r="134">
      <c r="A134" s="2" t="n">
        <v>131</v>
      </c>
      <c r="B134" s="5" t="n"/>
      <c r="C134" s="2" t="inlineStr">
        <is>
          <t>购买商品、接受劳务支付的现金</t>
        </is>
      </c>
      <c r="D134" s="6" t="n"/>
      <c r="E134" s="6" t="n"/>
      <c r="F134" s="6" t="n"/>
      <c r="G134" s="6" t="n"/>
    </row>
    <row r="135">
      <c r="A135" s="2" t="n">
        <v>132</v>
      </c>
      <c r="B135" s="5" t="n"/>
      <c r="C135" s="2" t="inlineStr">
        <is>
          <t>客户贷款及垫款净增加额</t>
        </is>
      </c>
      <c r="D135" s="6" t="n"/>
      <c r="E135" s="6" t="n"/>
      <c r="F135" s="6" t="n"/>
      <c r="G135" s="6" t="n"/>
    </row>
    <row r="136">
      <c r="A136" s="2" t="n">
        <v>133</v>
      </c>
      <c r="B136" s="5" t="n"/>
      <c r="C136" s="2" t="inlineStr">
        <is>
          <t>存放中央银行和同业款项净增加额</t>
        </is>
      </c>
      <c r="D136" s="6" t="n"/>
      <c r="E136" s="6" t="n"/>
      <c r="F136" s="6" t="n"/>
      <c r="G136" s="6" t="n"/>
    </row>
    <row r="137">
      <c r="A137" s="2" t="n">
        <v>134</v>
      </c>
      <c r="B137" s="5" t="n"/>
      <c r="C137" s="2" t="inlineStr">
        <is>
          <t>支付利息、手续费及佣金的现金</t>
        </is>
      </c>
      <c r="D137" s="6" t="n"/>
      <c r="E137" s="6" t="n"/>
      <c r="F137" s="6" t="n"/>
      <c r="G137" s="6" t="n"/>
    </row>
    <row r="138">
      <c r="A138" s="2" t="n">
        <v>135</v>
      </c>
      <c r="B138" s="5" t="n"/>
      <c r="C138" s="2" t="inlineStr">
        <is>
          <t>支付给职工以及为职工支付的现金</t>
        </is>
      </c>
      <c r="D138" s="6" t="n"/>
      <c r="E138" s="6" t="n"/>
      <c r="F138" s="6" t="n"/>
      <c r="G138" s="6" t="n"/>
    </row>
    <row r="139">
      <c r="A139" s="2" t="n">
        <v>136</v>
      </c>
      <c r="B139" s="5" t="n"/>
      <c r="C139" s="2" t="inlineStr">
        <is>
          <t>支付的各项税费</t>
        </is>
      </c>
      <c r="D139" s="6" t="n"/>
      <c r="E139" s="6" t="n"/>
      <c r="F139" s="6" t="n"/>
      <c r="G139" s="6" t="n"/>
    </row>
    <row r="140">
      <c r="A140" s="2" t="n">
        <v>137</v>
      </c>
      <c r="B140" s="5" t="n"/>
      <c r="C140" s="2" t="inlineStr">
        <is>
          <t>支付其他与经营活动有关的现金</t>
        </is>
      </c>
      <c r="D140" s="6" t="n"/>
      <c r="E140" s="6" t="n"/>
      <c r="F140" s="6" t="n"/>
      <c r="G140" s="6" t="n"/>
    </row>
    <row r="141">
      <c r="A141" s="2" t="n">
        <v>138</v>
      </c>
      <c r="B141" s="5" t="n"/>
      <c r="C141" s="2" t="inlineStr">
        <is>
          <t>经营活动现金流出小计</t>
        </is>
      </c>
      <c r="D141" s="4">
        <f>SUM(D134,D135,D136,D137,D138,D139,D140)</f>
        <v/>
      </c>
      <c r="E141" s="4">
        <f>SUM(E134,E135,E136,E137,E138,E139,E140)</f>
        <v/>
      </c>
      <c r="F141" s="4">
        <f>SUM(F134,F135,F136,F137,F138,F139,F140)</f>
        <v/>
      </c>
      <c r="G141" s="4">
        <f>SUM(G134,G135,G136,G137,G138,G139,G140)</f>
        <v/>
      </c>
    </row>
    <row r="142">
      <c r="A142" s="2" t="n">
        <v>139</v>
      </c>
      <c r="B142" s="5" t="n"/>
      <c r="C142" s="2" t="inlineStr">
        <is>
          <t>经营活动产生的现金流量净额</t>
        </is>
      </c>
      <c r="D142" s="4">
        <f>D133-D141</f>
        <v/>
      </c>
      <c r="E142" s="4">
        <f>E133-E141</f>
        <v/>
      </c>
      <c r="F142" s="4">
        <f>F133-F141</f>
        <v/>
      </c>
      <c r="G142" s="4">
        <f>G133-G141</f>
        <v/>
      </c>
    </row>
    <row r="143">
      <c r="A143" s="2" t="n">
        <v>140</v>
      </c>
      <c r="B143" s="5" t="n"/>
      <c r="C143" s="2" t="inlineStr">
        <is>
          <t>投资活动产生的现金流量：</t>
        </is>
      </c>
      <c r="D143" s="6" t="n"/>
      <c r="E143" s="6" t="n"/>
      <c r="F143" s="6" t="n"/>
      <c r="G143" s="6" t="n"/>
    </row>
    <row r="144">
      <c r="A144" s="2" t="n">
        <v>141</v>
      </c>
      <c r="B144" s="5" t="n"/>
      <c r="C144" s="2" t="inlineStr">
        <is>
          <t>收回投资收到的现金</t>
        </is>
      </c>
      <c r="D144" s="6" t="n"/>
      <c r="E144" s="6" t="n"/>
      <c r="F144" s="6" t="n"/>
      <c r="G144" s="6" t="n"/>
    </row>
    <row r="145">
      <c r="A145" s="2" t="n">
        <v>142</v>
      </c>
      <c r="B145" s="5" t="n"/>
      <c r="C145" s="2" t="inlineStr">
        <is>
          <t>取得投资收益收到的现金</t>
        </is>
      </c>
      <c r="D145" s="6" t="n"/>
      <c r="E145" s="6" t="n"/>
      <c r="F145" s="6" t="n"/>
      <c r="G145" s="6" t="n"/>
    </row>
    <row r="146">
      <c r="A146" s="2" t="n">
        <v>143</v>
      </c>
      <c r="B146" s="5" t="n"/>
      <c r="C146" s="2" t="inlineStr">
        <is>
          <t>处置固定资产、无形资产和其他长期资产收回的现金净额</t>
        </is>
      </c>
      <c r="D146" s="6" t="n"/>
      <c r="E146" s="6" t="n"/>
      <c r="F146" s="6" t="n"/>
      <c r="G146" s="6" t="n"/>
    </row>
    <row r="147">
      <c r="A147" s="2" t="n">
        <v>144</v>
      </c>
      <c r="B147" s="5" t="n"/>
      <c r="C147" s="2" t="inlineStr">
        <is>
          <t>处置子公司及其他营业单位收到的现金净额</t>
        </is>
      </c>
      <c r="D147" s="6" t="n"/>
      <c r="E147" s="6" t="n"/>
      <c r="F147" s="6" t="n"/>
      <c r="G147" s="6" t="n"/>
    </row>
    <row r="148">
      <c r="A148" s="2" t="n">
        <v>145</v>
      </c>
      <c r="B148" s="5" t="n"/>
      <c r="C148" s="2" t="inlineStr">
        <is>
          <t>收到其他与投资活动有关的现金</t>
        </is>
      </c>
      <c r="D148" s="6" t="n"/>
      <c r="E148" s="6" t="n"/>
      <c r="F148" s="6" t="n"/>
      <c r="G148" s="6" t="n"/>
    </row>
    <row r="149">
      <c r="A149" s="2" t="n">
        <v>146</v>
      </c>
      <c r="B149" s="5" t="n"/>
      <c r="C149" s="2" t="inlineStr">
        <is>
          <t>投资活动现金流入小计</t>
        </is>
      </c>
      <c r="D149" s="4">
        <f>SUM(D144,D145,D146,D147,D148)</f>
        <v/>
      </c>
      <c r="E149" s="4">
        <f>SUM(E144,E145,E146,E147,E148)</f>
        <v/>
      </c>
      <c r="F149" s="4">
        <f>SUM(F144,F145,F146,F147,F148)</f>
        <v/>
      </c>
      <c r="G149" s="4">
        <f>SUM(G144,G145,G146,G147,G148)</f>
        <v/>
      </c>
    </row>
    <row r="150">
      <c r="A150" s="2" t="n">
        <v>147</v>
      </c>
      <c r="B150" s="5" t="n"/>
      <c r="C150" s="2" t="inlineStr">
        <is>
          <t>购建固定资产、无形资产和其他长期资产支付的现金</t>
        </is>
      </c>
      <c r="D150" s="6" t="n"/>
      <c r="E150" s="6" t="n"/>
      <c r="F150" s="6" t="n"/>
      <c r="G150" s="6" t="n"/>
    </row>
    <row r="151">
      <c r="A151" s="2" t="n">
        <v>148</v>
      </c>
      <c r="B151" s="5" t="n"/>
      <c r="C151" s="2" t="inlineStr">
        <is>
          <t>投资支付的现金</t>
        </is>
      </c>
      <c r="D151" s="6" t="n"/>
      <c r="E151" s="6" t="n"/>
      <c r="F151" s="6" t="n"/>
      <c r="G151" s="6" t="n"/>
    </row>
    <row r="152">
      <c r="A152" s="2" t="n">
        <v>149</v>
      </c>
      <c r="B152" s="5" t="n"/>
      <c r="C152" s="2" t="inlineStr">
        <is>
          <t>质押贷款净增加额</t>
        </is>
      </c>
      <c r="D152" s="6" t="n"/>
      <c r="E152" s="6" t="n"/>
      <c r="F152" s="6" t="n"/>
      <c r="G152" s="6" t="n"/>
    </row>
    <row r="153">
      <c r="A153" s="2" t="n">
        <v>150</v>
      </c>
      <c r="B153" s="5" t="n"/>
      <c r="C153" s="2" t="inlineStr">
        <is>
          <t>取得子公司及其他营业单位支付的现金净额</t>
        </is>
      </c>
      <c r="D153" s="6" t="n"/>
      <c r="E153" s="6" t="n"/>
      <c r="F153" s="6" t="n"/>
      <c r="G153" s="6" t="n"/>
    </row>
    <row r="154">
      <c r="A154" s="2" t="n">
        <v>151</v>
      </c>
      <c r="B154" s="5" t="n"/>
      <c r="C154" s="2" t="inlineStr">
        <is>
          <t>支付其他与投资活动有关的现金</t>
        </is>
      </c>
      <c r="D154" s="6" t="n"/>
      <c r="E154" s="6" t="n"/>
      <c r="F154" s="6" t="n"/>
      <c r="G154" s="6" t="n"/>
    </row>
    <row r="155">
      <c r="A155" s="2" t="n">
        <v>152</v>
      </c>
      <c r="B155" s="5" t="n"/>
      <c r="C155" s="2" t="inlineStr">
        <is>
          <t>投资活动现金流出小计</t>
        </is>
      </c>
      <c r="D155" s="4">
        <f>SUM(D150,D151,D152,D153,D154)</f>
        <v/>
      </c>
      <c r="E155" s="4">
        <f>SUM(E150,E151,E152,E153,E154)</f>
        <v/>
      </c>
      <c r="F155" s="4">
        <f>SUM(F150,F151,F152,F153,F154)</f>
        <v/>
      </c>
      <c r="G155" s="4">
        <f>SUM(G150,G151,G152,G153,G154)</f>
        <v/>
      </c>
    </row>
    <row r="156">
      <c r="A156" s="2" t="n">
        <v>153</v>
      </c>
      <c r="B156" s="5" t="n"/>
      <c r="C156" s="2" t="inlineStr">
        <is>
          <t>投资活动产生的现金流量净额</t>
        </is>
      </c>
      <c r="D156" s="4">
        <f>D149-D155</f>
        <v/>
      </c>
      <c r="E156" s="4">
        <f>E149-E155</f>
        <v/>
      </c>
      <c r="F156" s="4">
        <f>F149-F155</f>
        <v/>
      </c>
      <c r="G156" s="4">
        <f>G149-G155</f>
        <v/>
      </c>
    </row>
    <row r="157">
      <c r="A157" s="2" t="n">
        <v>154</v>
      </c>
      <c r="B157" s="5" t="n"/>
      <c r="C157" s="2" t="inlineStr">
        <is>
          <t>筹资活动产生的现金流量：</t>
        </is>
      </c>
      <c r="D157" s="6" t="n"/>
      <c r="E157" s="6" t="n"/>
      <c r="F157" s="6" t="n"/>
      <c r="G157" s="6" t="n"/>
    </row>
    <row r="158">
      <c r="A158" s="2" t="n">
        <v>155</v>
      </c>
      <c r="B158" s="5" t="n"/>
      <c r="C158" s="2" t="inlineStr">
        <is>
          <t>吸收投资收到的现金</t>
        </is>
      </c>
      <c r="D158" s="6" t="n"/>
      <c r="E158" s="6" t="n"/>
      <c r="F158" s="6" t="n"/>
      <c r="G158" s="6" t="n"/>
    </row>
    <row r="159">
      <c r="A159" s="2" t="n">
        <v>156</v>
      </c>
      <c r="B159" s="5" t="n"/>
      <c r="C159" s="2" t="inlineStr">
        <is>
          <t>其中：子公司吸收少数股东投资收到的现金</t>
        </is>
      </c>
      <c r="D159" s="6" t="n"/>
      <c r="E159" s="6" t="n"/>
      <c r="F159" s="6" t="n"/>
      <c r="G159" s="6" t="n"/>
    </row>
    <row r="160">
      <c r="A160" s="2" t="n">
        <v>157</v>
      </c>
      <c r="B160" s="5" t="n"/>
      <c r="C160" s="2" t="inlineStr">
        <is>
          <t>取得借款收到的现金</t>
        </is>
      </c>
      <c r="D160" s="6" t="n"/>
      <c r="E160" s="6" t="n"/>
      <c r="F160" s="6" t="n"/>
      <c r="G160" s="6" t="n"/>
    </row>
    <row r="161">
      <c r="A161" s="2" t="n">
        <v>158</v>
      </c>
      <c r="B161" s="5" t="n"/>
      <c r="C161" s="2" t="inlineStr">
        <is>
          <t>发行债券收到的现金</t>
        </is>
      </c>
      <c r="D161" s="6" t="n"/>
      <c r="E161" s="6" t="n"/>
      <c r="F161" s="6" t="n"/>
      <c r="G161" s="6" t="n"/>
    </row>
    <row r="162">
      <c r="A162" s="2" t="n">
        <v>159</v>
      </c>
      <c r="B162" s="5" t="n"/>
      <c r="C162" s="2" t="inlineStr">
        <is>
          <t>收到其他与筹资活动有关的现金</t>
        </is>
      </c>
      <c r="D162" s="6" t="n"/>
      <c r="E162" s="6" t="n"/>
      <c r="F162" s="6" t="n"/>
      <c r="G162" s="6" t="n"/>
    </row>
    <row r="163">
      <c r="A163" s="2" t="n">
        <v>160</v>
      </c>
      <c r="B163" s="5" t="n"/>
      <c r="C163" s="2" t="inlineStr">
        <is>
          <t>筹资活动现金流入小计</t>
        </is>
      </c>
      <c r="D163" s="4">
        <f>SUM(D158,D160,D161,D162)</f>
        <v/>
      </c>
      <c r="E163" s="4">
        <f>SUM(E158,E160,E161,E162)</f>
        <v/>
      </c>
      <c r="F163" s="4">
        <f>SUM(F158,F160,F161,F162)</f>
        <v/>
      </c>
      <c r="G163" s="4">
        <f>SUM(G158,G160,G161,G162)</f>
        <v/>
      </c>
    </row>
    <row r="164">
      <c r="A164" s="2" t="n">
        <v>161</v>
      </c>
      <c r="B164" s="5" t="n"/>
      <c r="C164" s="2" t="inlineStr">
        <is>
          <t>偿还债务支付的现金</t>
        </is>
      </c>
      <c r="D164" s="6" t="n"/>
      <c r="E164" s="6" t="n"/>
      <c r="F164" s="6" t="n"/>
      <c r="G164" s="6" t="n"/>
    </row>
    <row r="165">
      <c r="A165" s="2" t="n">
        <v>162</v>
      </c>
      <c r="B165" s="5" t="n"/>
      <c r="C165" s="2" t="inlineStr">
        <is>
          <t>分配股利、利润或偿付利息支付的现金</t>
        </is>
      </c>
      <c r="D165" s="6" t="n"/>
      <c r="E165" s="6" t="n"/>
      <c r="F165" s="6" t="n"/>
      <c r="G165" s="6" t="n"/>
    </row>
    <row r="166">
      <c r="A166" s="2" t="n">
        <v>163</v>
      </c>
      <c r="B166" s="5" t="n"/>
      <c r="C166" s="2" t="inlineStr">
        <is>
          <t>其中：子公司支付给少数股东的股利、利润</t>
        </is>
      </c>
      <c r="D166" s="6" t="n"/>
      <c r="E166" s="6" t="n"/>
      <c r="F166" s="6" t="n"/>
      <c r="G166" s="6" t="n"/>
    </row>
    <row r="167">
      <c r="A167" s="2" t="n">
        <v>164</v>
      </c>
      <c r="B167" s="5" t="n"/>
      <c r="C167" s="2" t="inlineStr">
        <is>
          <t>支付其他与筹资活动有关的现金</t>
        </is>
      </c>
      <c r="D167" s="6" t="n"/>
      <c r="E167" s="6" t="n"/>
      <c r="F167" s="6" t="n"/>
      <c r="G167" s="6" t="n"/>
    </row>
    <row r="168">
      <c r="A168" s="2" t="n">
        <v>165</v>
      </c>
      <c r="B168" s="5" t="n"/>
      <c r="C168" s="2" t="inlineStr">
        <is>
          <t>筹资活动现金流出小计</t>
        </is>
      </c>
      <c r="D168" s="4">
        <f>SUM(D164,D165,D167)</f>
        <v/>
      </c>
      <c r="E168" s="4">
        <f>SUM(E164,E165,E167)</f>
        <v/>
      </c>
      <c r="F168" s="4">
        <f>SUM(F164,F165,F167)</f>
        <v/>
      </c>
      <c r="G168" s="4">
        <f>SUM(G164,G165,G167)</f>
        <v/>
      </c>
    </row>
    <row r="169">
      <c r="A169" s="2" t="n">
        <v>166</v>
      </c>
      <c r="B169" s="5" t="n"/>
      <c r="C169" s="2" t="inlineStr">
        <is>
          <t>筹资活动产生的现金流量净额</t>
        </is>
      </c>
      <c r="D169" s="4">
        <f>D163-D168</f>
        <v/>
      </c>
      <c r="E169" s="4">
        <f>E163-E168</f>
        <v/>
      </c>
      <c r="F169" s="4">
        <f>F163-F168</f>
        <v/>
      </c>
      <c r="G169" s="4">
        <f>G163-G168</f>
        <v/>
      </c>
    </row>
    <row r="170">
      <c r="A170" s="2" t="n">
        <v>167</v>
      </c>
      <c r="B170" s="5" t="n"/>
      <c r="C170" s="2" t="inlineStr">
        <is>
          <t>汇率变动对现金及现金等价物的影响</t>
        </is>
      </c>
      <c r="D170" s="6" t="n"/>
      <c r="E170" s="6" t="n"/>
      <c r="F170" s="6" t="n"/>
      <c r="G170" s="6" t="n"/>
    </row>
    <row r="171">
      <c r="A171" s="2" t="n">
        <v>168</v>
      </c>
      <c r="B171" s="5" t="n"/>
      <c r="C171" s="2" t="inlineStr">
        <is>
          <t>现金及现金等价物净增加额</t>
        </is>
      </c>
      <c r="D171" s="4">
        <f>D142+D156+D169+D170</f>
        <v/>
      </c>
      <c r="E171" s="4">
        <f>E142+E156+E169+E170</f>
        <v/>
      </c>
      <c r="F171" s="4">
        <f>F142+F156+F169+F170</f>
        <v/>
      </c>
      <c r="G171" s="4">
        <f>G142+G156+G169+G170</f>
        <v/>
      </c>
    </row>
    <row r="172">
      <c r="A172" s="2" t="n">
        <v>169</v>
      </c>
      <c r="B172" s="5" t="n"/>
      <c r="C172" s="2" t="inlineStr">
        <is>
          <t>加：期初现金及现金等价物余额</t>
        </is>
      </c>
      <c r="D172" s="6" t="n"/>
      <c r="E172" s="6" t="n"/>
      <c r="F172" s="6" t="n"/>
      <c r="G172" s="6" t="n"/>
    </row>
    <row r="173">
      <c r="A173" s="2" t="n">
        <v>170</v>
      </c>
      <c r="B173" s="7" t="n"/>
      <c r="C173" s="2" t="inlineStr">
        <is>
          <t>期末现金及现金等价物余额</t>
        </is>
      </c>
      <c r="D173" s="4">
        <f>D171+D172</f>
        <v/>
      </c>
      <c r="E173" s="4">
        <f>E171+E172</f>
        <v/>
      </c>
      <c r="F173" s="4">
        <f>F171+F172</f>
        <v/>
      </c>
      <c r="G173" s="4">
        <f>G171+G172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B2:B91"/>
    <mergeCell ref="B126:B173"/>
    <mergeCell ref="B93:B1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4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序号</t>
        </is>
      </c>
      <c r="B1" s="1" t="inlineStr">
        <is>
          <t>报表分类</t>
        </is>
      </c>
      <c r="C1" s="1" t="inlineStr">
        <is>
          <t>标准会计科目</t>
        </is>
      </c>
      <c r="D1" s="1" t="inlineStr">
        <is>
          <t>2022年</t>
        </is>
      </c>
      <c r="E1" s="1" t="inlineStr">
        <is>
          <t>2023年</t>
        </is>
      </c>
      <c r="F1" s="1" t="inlineStr">
        <is>
          <t>2024年</t>
        </is>
      </c>
      <c r="G1" s="1" t="inlineStr">
        <is>
          <t>最新一期</t>
        </is>
      </c>
    </row>
    <row r="2">
      <c r="A2" s="2" t="n">
        <v>1</v>
      </c>
      <c r="B2" s="3" t="inlineStr">
        <is>
          <t>资产负债表</t>
        </is>
      </c>
      <c r="C2" s="2" t="inlineStr">
        <is>
          <t>流动资产合计</t>
        </is>
      </c>
      <c r="D2" s="4">
        <f>SUM(D3,D5,D6,D7,D8,D9,D10,D11,D12,D13,D14,D15,D16,D17,D18,D19,D20,D21,D22)</f>
        <v/>
      </c>
      <c r="E2" s="4">
        <f>SUM(E3,E5,E6,E7,E8,E9,E10,E11,E12,E13,E14,E15,E16,E17,E18,E19,E20,E21,E22)</f>
        <v/>
      </c>
      <c r="F2" s="4">
        <f>SUM(F3,F5,F6,F7,F8,F9,F10,F11,F12,F13,F14,F15,F16,F17,F18,F19,F20,F21,F22)</f>
        <v/>
      </c>
      <c r="G2" s="4">
        <f>SUM(G3,G5,G6,G7,G8,G9,G10,G11,G12,G13,G14,G15,G16,G17,G18,G19,G20,G21,G22)</f>
        <v/>
      </c>
    </row>
    <row r="3">
      <c r="A3" s="2" t="n">
        <v>2</v>
      </c>
      <c r="B3" s="5" t="n"/>
      <c r="C3" s="2" t="inlineStr">
        <is>
          <t>货币资金</t>
        </is>
      </c>
      <c r="D3" s="6" t="n"/>
      <c r="E3" s="6" t="n"/>
      <c r="F3" s="6" t="n"/>
      <c r="G3" s="6" t="n"/>
    </row>
    <row r="4">
      <c r="A4" s="2" t="n">
        <v>3</v>
      </c>
      <c r="B4" s="5" t="n"/>
      <c r="C4" s="2" t="inlineStr">
        <is>
          <t>其中：受限货币资金</t>
        </is>
      </c>
      <c r="D4" s="6" t="n"/>
      <c r="E4" s="6" t="n"/>
      <c r="F4" s="6" t="n"/>
      <c r="G4" s="6" t="n"/>
    </row>
    <row r="5">
      <c r="A5" s="2" t="n">
        <v>4</v>
      </c>
      <c r="B5" s="5" t="n"/>
      <c r="C5" s="2" t="inlineStr">
        <is>
          <t>结算备付金</t>
        </is>
      </c>
      <c r="D5" s="6" t="n"/>
      <c r="E5" s="6" t="n"/>
      <c r="F5" s="6" t="n"/>
      <c r="G5" s="6" t="n"/>
    </row>
    <row r="6">
      <c r="A6" s="2" t="n">
        <v>5</v>
      </c>
      <c r="B6" s="5" t="n"/>
      <c r="C6" s="2" t="inlineStr">
        <is>
          <t>拆出资金</t>
        </is>
      </c>
      <c r="D6" s="6" t="n"/>
      <c r="E6" s="6" t="n"/>
      <c r="F6" s="6" t="n"/>
      <c r="G6" s="6" t="n"/>
    </row>
    <row r="7">
      <c r="A7" s="2" t="n">
        <v>6</v>
      </c>
      <c r="B7" s="5" t="n"/>
      <c r="C7" s="2" t="inlineStr">
        <is>
          <t>交易性金融资产 / 短期投资</t>
        </is>
      </c>
      <c r="D7" s="6" t="n"/>
      <c r="E7" s="6" t="n"/>
      <c r="F7" s="6" t="n"/>
      <c r="G7" s="6" t="n"/>
    </row>
    <row r="8">
      <c r="A8" s="2" t="n">
        <v>7</v>
      </c>
      <c r="B8" s="5" t="n"/>
      <c r="C8" s="2" t="inlineStr">
        <is>
          <t>衍生金融资产</t>
        </is>
      </c>
      <c r="D8" s="6" t="n"/>
      <c r="E8" s="6" t="n"/>
      <c r="F8" s="6" t="n"/>
      <c r="G8" s="6" t="n"/>
    </row>
    <row r="9">
      <c r="A9" s="2" t="n">
        <v>8</v>
      </c>
      <c r="B9" s="5" t="n"/>
      <c r="C9" s="2" t="inlineStr">
        <is>
          <t>应收票据</t>
        </is>
      </c>
      <c r="D9" s="6" t="n"/>
      <c r="E9" s="6" t="n"/>
      <c r="F9" s="6" t="n"/>
      <c r="G9" s="6" t="n"/>
    </row>
    <row r="10">
      <c r="A10" s="2" t="n">
        <v>9</v>
      </c>
      <c r="B10" s="5" t="n"/>
      <c r="C10" s="2" t="inlineStr">
        <is>
          <t>应收账款</t>
        </is>
      </c>
      <c r="D10" s="6" t="n"/>
      <c r="E10" s="6" t="n"/>
      <c r="F10" s="6" t="n"/>
      <c r="G10" s="6" t="n"/>
    </row>
    <row r="11">
      <c r="A11" s="2" t="n">
        <v>10</v>
      </c>
      <c r="B11" s="5" t="n"/>
      <c r="C11" s="2" t="inlineStr">
        <is>
          <t>应收款项融资</t>
        </is>
      </c>
      <c r="D11" s="6" t="n"/>
      <c r="E11" s="6" t="n"/>
      <c r="F11" s="6" t="n"/>
      <c r="G11" s="6" t="n"/>
    </row>
    <row r="12">
      <c r="A12" s="2" t="n">
        <v>11</v>
      </c>
      <c r="B12" s="5" t="n"/>
      <c r="C12" s="2" t="inlineStr">
        <is>
          <t>预付款项</t>
        </is>
      </c>
      <c r="D12" s="6" t="n"/>
      <c r="E12" s="6" t="n"/>
      <c r="F12" s="6" t="n"/>
      <c r="G12" s="6" t="n"/>
    </row>
    <row r="13">
      <c r="A13" s="2" t="n">
        <v>12</v>
      </c>
      <c r="B13" s="5" t="n"/>
      <c r="C13" s="2" t="inlineStr">
        <is>
          <t>应收保费 / 应收分保账款</t>
        </is>
      </c>
      <c r="D13" s="6" t="n"/>
      <c r="E13" s="6" t="n"/>
      <c r="F13" s="6" t="n"/>
      <c r="G13" s="6" t="n"/>
    </row>
    <row r="14">
      <c r="A14" s="2" t="n">
        <v>13</v>
      </c>
      <c r="B14" s="5" t="n"/>
      <c r="C14" s="2" t="inlineStr">
        <is>
          <t>应收利息</t>
        </is>
      </c>
      <c r="D14" s="6" t="n"/>
      <c r="E14" s="6" t="n"/>
      <c r="F14" s="6" t="n"/>
      <c r="G14" s="6" t="n"/>
    </row>
    <row r="15">
      <c r="A15" s="2" t="n">
        <v>14</v>
      </c>
      <c r="B15" s="5" t="n"/>
      <c r="C15" s="2" t="inlineStr">
        <is>
          <t>应收股利</t>
        </is>
      </c>
      <c r="D15" s="6" t="n"/>
      <c r="E15" s="6" t="n"/>
      <c r="F15" s="6" t="n"/>
      <c r="G15" s="6" t="n"/>
    </row>
    <row r="16">
      <c r="A16" s="2" t="n">
        <v>15</v>
      </c>
      <c r="B16" s="5" t="n"/>
      <c r="C16" s="2" t="inlineStr">
        <is>
          <t>其他应收款</t>
        </is>
      </c>
      <c r="D16" s="6" t="n"/>
      <c r="E16" s="6" t="n"/>
      <c r="F16" s="6" t="n"/>
      <c r="G16" s="6" t="n"/>
    </row>
    <row r="17">
      <c r="A17" s="2" t="n">
        <v>16</v>
      </c>
      <c r="B17" s="5" t="n"/>
      <c r="C17" s="2" t="inlineStr">
        <is>
          <t>买入返售金融资产</t>
        </is>
      </c>
      <c r="D17" s="6" t="n"/>
      <c r="E17" s="6" t="n"/>
      <c r="F17" s="6" t="n"/>
      <c r="G17" s="6" t="n"/>
    </row>
    <row r="18">
      <c r="A18" s="2" t="n">
        <v>17</v>
      </c>
      <c r="B18" s="5" t="n"/>
      <c r="C18" s="2" t="inlineStr">
        <is>
          <t>存货</t>
        </is>
      </c>
      <c r="D18" s="6" t="n"/>
      <c r="E18" s="6" t="n"/>
      <c r="F18" s="6" t="n"/>
      <c r="G18" s="6" t="n"/>
    </row>
    <row r="19">
      <c r="A19" s="2" t="n">
        <v>18</v>
      </c>
      <c r="B19" s="5" t="n"/>
      <c r="C19" s="2" t="inlineStr">
        <is>
          <t>合同资产</t>
        </is>
      </c>
      <c r="D19" s="6" t="n"/>
      <c r="E19" s="6" t="n"/>
      <c r="F19" s="6" t="n"/>
      <c r="G19" s="6" t="n"/>
    </row>
    <row r="20">
      <c r="A20" s="2" t="n">
        <v>19</v>
      </c>
      <c r="B20" s="5" t="n"/>
      <c r="C20" s="2" t="inlineStr">
        <is>
          <t>持有待售资产</t>
        </is>
      </c>
      <c r="D20" s="6" t="n"/>
      <c r="E20" s="6" t="n"/>
      <c r="F20" s="6" t="n"/>
      <c r="G20" s="6" t="n"/>
    </row>
    <row r="21">
      <c r="A21" s="2" t="n">
        <v>20</v>
      </c>
      <c r="B21" s="5" t="n"/>
      <c r="C21" s="2" t="inlineStr">
        <is>
          <t>一年内到期的非流动资产</t>
        </is>
      </c>
      <c r="D21" s="6" t="n"/>
      <c r="E21" s="6" t="n"/>
      <c r="F21" s="6" t="n"/>
      <c r="G21" s="6" t="n"/>
    </row>
    <row r="22">
      <c r="A22" s="2" t="n">
        <v>21</v>
      </c>
      <c r="B22" s="5" t="n"/>
      <c r="C22" s="2" t="inlineStr">
        <is>
          <t>其他流动资产</t>
        </is>
      </c>
      <c r="D22" s="6" t="n"/>
      <c r="E22" s="6" t="n"/>
      <c r="F22" s="6" t="n"/>
      <c r="G22" s="6" t="n"/>
    </row>
    <row r="23">
      <c r="A23" s="2" t="n">
        <v>22</v>
      </c>
      <c r="B23" s="5" t="n"/>
      <c r="C23" s="2" t="inlineStr">
        <is>
          <t>非流动资产合计</t>
        </is>
      </c>
      <c r="D23" s="4">
        <f>SUM(D24,D25,D26,D27,D28,D29,D30,D31,D32,D34,D35,D36,D37,D38,D39,D40,D41,D42)</f>
        <v/>
      </c>
      <c r="E23" s="4">
        <f>SUM(E24,E25,E26,E27,E28,E29,E30,E31,E32,E34,E35,E36,E37,E38,E39,E40,E41,E42)</f>
        <v/>
      </c>
      <c r="F23" s="4">
        <f>SUM(F24,F25,F26,F27,F28,F29,F30,F31,F32,F34,F35,F36,F37,F38,F39,F40,F41,F42)</f>
        <v/>
      </c>
      <c r="G23" s="4">
        <f>SUM(G24,G25,G26,G27,G28,G29,G30,G31,G32,G34,G35,G36,G37,G38,G39,G40,G41,G42)</f>
        <v/>
      </c>
    </row>
    <row r="24">
      <c r="A24" s="2" t="n">
        <v>23</v>
      </c>
      <c r="B24" s="5" t="n"/>
      <c r="C24" s="2" t="inlineStr">
        <is>
          <t>发放贷款和垫款</t>
        </is>
      </c>
      <c r="D24" s="6" t="n"/>
      <c r="E24" s="6" t="n"/>
      <c r="F24" s="6" t="n"/>
      <c r="G24" s="6" t="n"/>
    </row>
    <row r="25">
      <c r="A25" s="2" t="n">
        <v>24</v>
      </c>
      <c r="B25" s="5" t="n"/>
      <c r="C25" s="2" t="inlineStr">
        <is>
          <t>债权投资 / 持有至到期投资</t>
        </is>
      </c>
      <c r="D25" s="6" t="n"/>
      <c r="E25" s="6" t="n"/>
      <c r="F25" s="6" t="n"/>
      <c r="G25" s="6" t="n"/>
    </row>
    <row r="26">
      <c r="A26" s="2" t="n">
        <v>25</v>
      </c>
      <c r="B26" s="5" t="n"/>
      <c r="C26" s="2" t="inlineStr">
        <is>
          <t>其他债权投资 / 可供出售金融资产</t>
        </is>
      </c>
      <c r="D26" s="6" t="n"/>
      <c r="E26" s="6" t="n"/>
      <c r="F26" s="6" t="n"/>
      <c r="G26" s="6" t="n"/>
    </row>
    <row r="27">
      <c r="A27" s="2" t="n">
        <v>26</v>
      </c>
      <c r="B27" s="5" t="n"/>
      <c r="C27" s="2" t="inlineStr">
        <is>
          <t>长期应收款</t>
        </is>
      </c>
      <c r="D27" s="6" t="n"/>
      <c r="E27" s="6" t="n"/>
      <c r="F27" s="6" t="n"/>
      <c r="G27" s="6" t="n"/>
    </row>
    <row r="28">
      <c r="A28" s="2" t="n">
        <v>27</v>
      </c>
      <c r="B28" s="5" t="n"/>
      <c r="C28" s="2" t="inlineStr">
        <is>
          <t>长期股权投资</t>
        </is>
      </c>
      <c r="D28" s="6" t="n"/>
      <c r="E28" s="6" t="n"/>
      <c r="F28" s="6" t="n"/>
      <c r="G28" s="6" t="n"/>
    </row>
    <row r="29">
      <c r="A29" s="2" t="n">
        <v>28</v>
      </c>
      <c r="B29" s="5" t="n"/>
      <c r="C29" s="2" t="inlineStr">
        <is>
          <t>其他权益工具投资</t>
        </is>
      </c>
      <c r="D29" s="6" t="n"/>
      <c r="E29" s="6" t="n"/>
      <c r="F29" s="6" t="n"/>
      <c r="G29" s="6" t="n"/>
    </row>
    <row r="30">
      <c r="A30" s="2" t="n">
        <v>29</v>
      </c>
      <c r="B30" s="5" t="n"/>
      <c r="C30" s="2" t="inlineStr">
        <is>
          <t>其他非流动金融资产</t>
        </is>
      </c>
      <c r="D30" s="6" t="n"/>
      <c r="E30" s="6" t="n"/>
      <c r="F30" s="6" t="n"/>
      <c r="G30" s="6" t="n"/>
    </row>
    <row r="31">
      <c r="A31" s="2" t="n">
        <v>30</v>
      </c>
      <c r="B31" s="5" t="n"/>
      <c r="C31" s="2" t="inlineStr">
        <is>
          <t>投资性房地产</t>
        </is>
      </c>
      <c r="D31" s="6" t="n"/>
      <c r="E31" s="6" t="n"/>
      <c r="F31" s="6" t="n"/>
      <c r="G31" s="6" t="n"/>
    </row>
    <row r="32">
      <c r="A32" s="2" t="n">
        <v>31</v>
      </c>
      <c r="B32" s="5" t="n"/>
      <c r="C32" s="2" t="inlineStr">
        <is>
          <t>固定资产</t>
        </is>
      </c>
      <c r="D32" s="6" t="n"/>
      <c r="E32" s="6" t="n"/>
      <c r="F32" s="6" t="n"/>
      <c r="G32" s="6" t="n"/>
    </row>
    <row r="33">
      <c r="A33" s="2" t="n">
        <v>32</v>
      </c>
      <c r="B33" s="5" t="n"/>
      <c r="C33" s="2" t="inlineStr">
        <is>
          <t>其中：固定资产清理</t>
        </is>
      </c>
      <c r="D33" s="6" t="n"/>
      <c r="E33" s="6" t="n"/>
      <c r="F33" s="6" t="n"/>
      <c r="G33" s="6" t="n"/>
    </row>
    <row r="34">
      <c r="A34" s="2" t="n">
        <v>33</v>
      </c>
      <c r="B34" s="5" t="n"/>
      <c r="C34" s="2" t="inlineStr">
        <is>
          <t>在建工程</t>
        </is>
      </c>
      <c r="D34" s="6" t="n"/>
      <c r="E34" s="6" t="n"/>
      <c r="F34" s="6" t="n"/>
      <c r="G34" s="6" t="n"/>
    </row>
    <row r="35">
      <c r="A35" s="2" t="n">
        <v>34</v>
      </c>
      <c r="B35" s="5" t="n"/>
      <c r="C35" s="2" t="inlineStr">
        <is>
          <t>生产性生物资产 / 油气资产</t>
        </is>
      </c>
      <c r="D35" s="6" t="n"/>
      <c r="E35" s="6" t="n"/>
      <c r="F35" s="6" t="n"/>
      <c r="G35" s="6" t="n"/>
    </row>
    <row r="36">
      <c r="A36" s="2" t="n">
        <v>35</v>
      </c>
      <c r="B36" s="5" t="n"/>
      <c r="C36" s="2" t="inlineStr">
        <is>
          <t>使用权资产</t>
        </is>
      </c>
      <c r="D36" s="6" t="n"/>
      <c r="E36" s="6" t="n"/>
      <c r="F36" s="6" t="n"/>
      <c r="G36" s="6" t="n"/>
    </row>
    <row r="37">
      <c r="A37" s="2" t="n">
        <v>36</v>
      </c>
      <c r="B37" s="5" t="n"/>
      <c r="C37" s="2" t="inlineStr">
        <is>
          <t>无形资产</t>
        </is>
      </c>
      <c r="D37" s="6" t="n"/>
      <c r="E37" s="6" t="n"/>
      <c r="F37" s="6" t="n"/>
      <c r="G37" s="6" t="n"/>
    </row>
    <row r="38">
      <c r="A38" s="2" t="n">
        <v>37</v>
      </c>
      <c r="B38" s="5" t="n"/>
      <c r="C38" s="2" t="inlineStr">
        <is>
          <t>开发支出</t>
        </is>
      </c>
      <c r="D38" s="6" t="n"/>
      <c r="E38" s="6" t="n"/>
      <c r="F38" s="6" t="n"/>
      <c r="G38" s="6" t="n"/>
    </row>
    <row r="39">
      <c r="A39" s="2" t="n">
        <v>38</v>
      </c>
      <c r="B39" s="5" t="n"/>
      <c r="C39" s="2" t="inlineStr">
        <is>
          <t>商誉</t>
        </is>
      </c>
      <c r="D39" s="6" t="n"/>
      <c r="E39" s="6" t="n"/>
      <c r="F39" s="6" t="n"/>
      <c r="G39" s="6" t="n"/>
    </row>
    <row r="40">
      <c r="A40" s="2" t="n">
        <v>39</v>
      </c>
      <c r="B40" s="5" t="n"/>
      <c r="C40" s="2" t="inlineStr">
        <is>
          <t>长期待摊费用</t>
        </is>
      </c>
      <c r="D40" s="6" t="n"/>
      <c r="E40" s="6" t="n"/>
      <c r="F40" s="6" t="n"/>
      <c r="G40" s="6" t="n"/>
    </row>
    <row r="41">
      <c r="A41" s="2" t="n">
        <v>40</v>
      </c>
      <c r="B41" s="5" t="n"/>
      <c r="C41" s="2" t="inlineStr">
        <is>
          <t>递延所得税资产</t>
        </is>
      </c>
      <c r="D41" s="6" t="n"/>
      <c r="E41" s="6" t="n"/>
      <c r="F41" s="6" t="n"/>
      <c r="G41" s="6" t="n"/>
    </row>
    <row r="42">
      <c r="A42" s="2" t="n">
        <v>41</v>
      </c>
      <c r="B42" s="5" t="n"/>
      <c r="C42" s="2" t="inlineStr">
        <is>
          <t>其他非流动资产</t>
        </is>
      </c>
      <c r="D42" s="6" t="n"/>
      <c r="E42" s="6" t="n"/>
      <c r="F42" s="6" t="n"/>
      <c r="G42" s="6" t="n"/>
    </row>
    <row r="43">
      <c r="A43" s="2" t="n">
        <v>42</v>
      </c>
      <c r="B43" s="5" t="n"/>
      <c r="C43" s="2" t="inlineStr">
        <is>
          <t>资产总计</t>
        </is>
      </c>
      <c r="D43" s="4">
        <f>D2+D23</f>
        <v/>
      </c>
      <c r="E43" s="4">
        <f>E2+E23</f>
        <v/>
      </c>
      <c r="F43" s="4">
        <f>F2+F23</f>
        <v/>
      </c>
      <c r="G43" s="4">
        <f>G2+G23</f>
        <v/>
      </c>
    </row>
    <row r="44">
      <c r="A44" s="2" t="n">
        <v>43</v>
      </c>
      <c r="B44" s="5" t="n"/>
      <c r="C44" s="2" t="inlineStr">
        <is>
          <t>流动负债合计</t>
        </is>
      </c>
      <c r="D44" s="4">
        <f>SUM(D45,D46,D47,D48,D49,D50,D51,D52,D53,D54,D55,D56,D57,D60,D61,D62)</f>
        <v/>
      </c>
      <c r="E44" s="4">
        <f>SUM(E45,E46,E47,E48,E49,E50,E51,E52,E53,E54,E55,E56,E57,E60,E61,E62)</f>
        <v/>
      </c>
      <c r="F44" s="4">
        <f>SUM(F45,F46,F47,F48,F49,F50,F51,F52,F53,F54,F55,F56,F57,F60,F61,F62)</f>
        <v/>
      </c>
      <c r="G44" s="4">
        <f>SUM(G45,G46,G47,G48,G49,G50,G51,G52,G53,G54,G55,G56,G57,G60,G61,G62)</f>
        <v/>
      </c>
    </row>
    <row r="45">
      <c r="A45" s="2" t="n">
        <v>44</v>
      </c>
      <c r="B45" s="5" t="n"/>
      <c r="C45" s="2" t="inlineStr">
        <is>
          <t>短期借款</t>
        </is>
      </c>
      <c r="D45" s="6" t="n"/>
      <c r="E45" s="6" t="n"/>
      <c r="F45" s="6" t="n"/>
      <c r="G45" s="6" t="n"/>
    </row>
    <row r="46">
      <c r="A46" s="2" t="n">
        <v>45</v>
      </c>
      <c r="B46" s="5" t="n"/>
      <c r="C46" s="2" t="inlineStr">
        <is>
          <t>向中央银行借款</t>
        </is>
      </c>
      <c r="D46" s="6" t="n"/>
      <c r="E46" s="6" t="n"/>
      <c r="F46" s="6" t="n"/>
      <c r="G46" s="6" t="n"/>
    </row>
    <row r="47">
      <c r="A47" s="2" t="n">
        <v>46</v>
      </c>
      <c r="B47" s="5" t="n"/>
      <c r="C47" s="2" t="inlineStr">
        <is>
          <t>拆入资金 / 吸收存款及同业存放</t>
        </is>
      </c>
      <c r="D47" s="6" t="n"/>
      <c r="E47" s="6" t="n"/>
      <c r="F47" s="6" t="n"/>
      <c r="G47" s="6" t="n"/>
    </row>
    <row r="48">
      <c r="A48" s="2" t="n">
        <v>47</v>
      </c>
      <c r="B48" s="5" t="n"/>
      <c r="C48" s="2" t="inlineStr">
        <is>
          <t>交易性金融负债</t>
        </is>
      </c>
      <c r="D48" s="6" t="n"/>
      <c r="E48" s="6" t="n"/>
      <c r="F48" s="6" t="n"/>
      <c r="G48" s="6" t="n"/>
    </row>
    <row r="49">
      <c r="A49" s="2" t="n">
        <v>48</v>
      </c>
      <c r="B49" s="5" t="n"/>
      <c r="C49" s="2" t="inlineStr">
        <is>
          <t>衍生金融负债</t>
        </is>
      </c>
      <c r="D49" s="6" t="n"/>
      <c r="E49" s="6" t="n"/>
      <c r="F49" s="6" t="n"/>
      <c r="G49" s="6" t="n"/>
    </row>
    <row r="50">
      <c r="A50" s="2" t="n">
        <v>49</v>
      </c>
      <c r="B50" s="5" t="n"/>
      <c r="C50" s="2" t="inlineStr">
        <is>
          <t>应付票据</t>
        </is>
      </c>
      <c r="D50" s="6" t="n"/>
      <c r="E50" s="6" t="n"/>
      <c r="F50" s="6" t="n"/>
      <c r="G50" s="6" t="n"/>
    </row>
    <row r="51">
      <c r="A51" s="2" t="n">
        <v>50</v>
      </c>
      <c r="B51" s="5" t="n"/>
      <c r="C51" s="2" t="inlineStr">
        <is>
          <t>应付账款</t>
        </is>
      </c>
      <c r="D51" s="6" t="n"/>
      <c r="E51" s="6" t="n"/>
      <c r="F51" s="6" t="n"/>
      <c r="G51" s="6" t="n"/>
    </row>
    <row r="52">
      <c r="A52" s="2" t="n">
        <v>51</v>
      </c>
      <c r="B52" s="5" t="n"/>
      <c r="C52" s="2" t="inlineStr">
        <is>
          <t>预收款项</t>
        </is>
      </c>
      <c r="D52" s="6" t="n"/>
      <c r="E52" s="6" t="n"/>
      <c r="F52" s="6" t="n"/>
      <c r="G52" s="6" t="n"/>
    </row>
    <row r="53">
      <c r="A53" s="2" t="n">
        <v>52</v>
      </c>
      <c r="B53" s="5" t="n"/>
      <c r="C53" s="2" t="inlineStr">
        <is>
          <t>合同负债</t>
        </is>
      </c>
      <c r="D53" s="6" t="n"/>
      <c r="E53" s="6" t="n"/>
      <c r="F53" s="6" t="n"/>
      <c r="G53" s="6" t="n"/>
    </row>
    <row r="54">
      <c r="A54" s="2" t="n">
        <v>53</v>
      </c>
      <c r="B54" s="5" t="n"/>
      <c r="C54" s="2" t="inlineStr">
        <is>
          <t>卖出回购金融资产款</t>
        </is>
      </c>
      <c r="D54" s="6" t="n"/>
      <c r="E54" s="6" t="n"/>
      <c r="F54" s="6" t="n"/>
      <c r="G54" s="6" t="n"/>
    </row>
    <row r="55">
      <c r="A55" s="2" t="n">
        <v>54</v>
      </c>
      <c r="B55" s="5" t="n"/>
      <c r="C55" s="2" t="inlineStr">
        <is>
          <t>应付职工薪酬</t>
        </is>
      </c>
      <c r="D55" s="6" t="n"/>
      <c r="E55" s="6" t="n"/>
      <c r="F55" s="6" t="n"/>
      <c r="G55" s="6" t="n"/>
    </row>
    <row r="56">
      <c r="A56" s="2" t="n">
        <v>55</v>
      </c>
      <c r="B56" s="5" t="n"/>
      <c r="C56" s="2" t="inlineStr">
        <is>
          <t>应交税费</t>
        </is>
      </c>
      <c r="D56" s="6" t="n"/>
      <c r="E56" s="6" t="n"/>
      <c r="F56" s="6" t="n"/>
      <c r="G56" s="6" t="n"/>
    </row>
    <row r="57">
      <c r="A57" s="2" t="n">
        <v>56</v>
      </c>
      <c r="B57" s="5" t="n"/>
      <c r="C57" s="2" t="inlineStr">
        <is>
          <t>其他应付款</t>
        </is>
      </c>
      <c r="D57" s="6" t="n"/>
      <c r="E57" s="6" t="n"/>
      <c r="F57" s="6" t="n"/>
      <c r="G57" s="6" t="n"/>
    </row>
    <row r="58">
      <c r="A58" s="2" t="n">
        <v>57</v>
      </c>
      <c r="B58" s="5" t="n"/>
      <c r="C58" s="2" t="inlineStr">
        <is>
          <t>其中：应付利息</t>
        </is>
      </c>
      <c r="D58" s="6" t="n"/>
      <c r="E58" s="6" t="n"/>
      <c r="F58" s="6" t="n"/>
      <c r="G58" s="6" t="n"/>
    </row>
    <row r="59">
      <c r="A59" s="2" t="n">
        <v>58</v>
      </c>
      <c r="B59" s="5" t="n"/>
      <c r="C59" s="2" t="inlineStr">
        <is>
          <t>其中：应付股利</t>
        </is>
      </c>
      <c r="D59" s="6" t="n"/>
      <c r="E59" s="6" t="n"/>
      <c r="F59" s="6" t="n"/>
      <c r="G59" s="6" t="n"/>
    </row>
    <row r="60">
      <c r="A60" s="2" t="n">
        <v>59</v>
      </c>
      <c r="B60" s="5" t="n"/>
      <c r="C60" s="2" t="inlineStr">
        <is>
          <t>持有待售负债</t>
        </is>
      </c>
      <c r="D60" s="6" t="n"/>
      <c r="E60" s="6" t="n"/>
      <c r="F60" s="6" t="n"/>
      <c r="G60" s="6" t="n"/>
    </row>
    <row r="61">
      <c r="A61" s="2" t="n">
        <v>60</v>
      </c>
      <c r="B61" s="5" t="n"/>
      <c r="C61" s="2" t="inlineStr">
        <is>
          <t>一年内到期的非流动负债</t>
        </is>
      </c>
      <c r="D61" s="6" t="n"/>
      <c r="E61" s="6" t="n"/>
      <c r="F61" s="6" t="n"/>
      <c r="G61" s="6" t="n"/>
    </row>
    <row r="62">
      <c r="A62" s="2" t="n">
        <v>61</v>
      </c>
      <c r="B62" s="5" t="n"/>
      <c r="C62" s="2" t="inlineStr">
        <is>
          <t>其他流动负债</t>
        </is>
      </c>
      <c r="D62" s="6" t="n"/>
      <c r="E62" s="6" t="n"/>
      <c r="F62" s="6" t="n"/>
      <c r="G62" s="6" t="n"/>
    </row>
    <row r="63">
      <c r="A63" s="2" t="n">
        <v>62</v>
      </c>
      <c r="B63" s="5" t="n"/>
      <c r="C63" s="2" t="inlineStr">
        <is>
          <t>非流动负债合计</t>
        </is>
      </c>
      <c r="D63" s="4">
        <f>SUM(D64,D65,D68,D69,D70,D71,D72,D73,D74)</f>
        <v/>
      </c>
      <c r="E63" s="4">
        <f>SUM(E64,E65,E68,E69,E70,E71,E72,E73,E74)</f>
        <v/>
      </c>
      <c r="F63" s="4">
        <f>SUM(F64,F65,F68,F69,F70,F71,F72,F73,F74)</f>
        <v/>
      </c>
      <c r="G63" s="4">
        <f>SUM(G64,G65,G68,G69,G70,G71,G72,G73,G74)</f>
        <v/>
      </c>
    </row>
    <row r="64">
      <c r="A64" s="2" t="n">
        <v>63</v>
      </c>
      <c r="B64" s="5" t="n"/>
      <c r="C64" s="2" t="inlineStr">
        <is>
          <t>长期借款</t>
        </is>
      </c>
      <c r="D64" s="6" t="n"/>
      <c r="E64" s="6" t="n"/>
      <c r="F64" s="6" t="n"/>
      <c r="G64" s="6" t="n"/>
    </row>
    <row r="65">
      <c r="A65" s="2" t="n">
        <v>64</v>
      </c>
      <c r="B65" s="5" t="n"/>
      <c r="C65" s="2" t="inlineStr">
        <is>
          <t>应付债券</t>
        </is>
      </c>
      <c r="D65" s="6" t="n"/>
      <c r="E65" s="6" t="n"/>
      <c r="F65" s="6" t="n"/>
      <c r="G65" s="6" t="n"/>
    </row>
    <row r="66">
      <c r="A66" s="2" t="n">
        <v>65</v>
      </c>
      <c r="B66" s="5" t="n"/>
      <c r="C66" s="2" t="inlineStr">
        <is>
          <t>其中：优先股</t>
        </is>
      </c>
      <c r="D66" s="6" t="n"/>
      <c r="E66" s="6" t="n"/>
      <c r="F66" s="6" t="n"/>
      <c r="G66" s="6" t="n"/>
    </row>
    <row r="67">
      <c r="A67" s="2" t="n">
        <v>66</v>
      </c>
      <c r="B67" s="5" t="n"/>
      <c r="C67" s="2" t="inlineStr">
        <is>
          <t>其中：永续债</t>
        </is>
      </c>
      <c r="D67" s="6" t="n"/>
      <c r="E67" s="6" t="n"/>
      <c r="F67" s="6" t="n"/>
      <c r="G67" s="6" t="n"/>
    </row>
    <row r="68">
      <c r="A68" s="2" t="n">
        <v>67</v>
      </c>
      <c r="B68" s="5" t="n"/>
      <c r="C68" s="2" t="inlineStr">
        <is>
          <t>租赁负债</t>
        </is>
      </c>
      <c r="D68" s="6" t="n"/>
      <c r="E68" s="6" t="n"/>
      <c r="F68" s="6" t="n"/>
      <c r="G68" s="6" t="n"/>
    </row>
    <row r="69">
      <c r="A69" s="2" t="n">
        <v>68</v>
      </c>
      <c r="B69" s="5" t="n"/>
      <c r="C69" s="2" t="inlineStr">
        <is>
          <t>长期应付款</t>
        </is>
      </c>
      <c r="D69" s="6" t="n"/>
      <c r="E69" s="6" t="n"/>
      <c r="F69" s="6" t="n"/>
      <c r="G69" s="6" t="n"/>
    </row>
    <row r="70">
      <c r="A70" s="2" t="n">
        <v>69</v>
      </c>
      <c r="B70" s="5" t="n"/>
      <c r="C70" s="2" t="inlineStr">
        <is>
          <t>长期应付职工薪酬</t>
        </is>
      </c>
      <c r="D70" s="6" t="n"/>
      <c r="E70" s="6" t="n"/>
      <c r="F70" s="6" t="n"/>
      <c r="G70" s="6" t="n"/>
    </row>
    <row r="71">
      <c r="A71" s="2" t="n">
        <v>70</v>
      </c>
      <c r="B71" s="5" t="n"/>
      <c r="C71" s="2" t="inlineStr">
        <is>
          <t>预计负债</t>
        </is>
      </c>
      <c r="D71" s="6" t="n"/>
      <c r="E71" s="6" t="n"/>
      <c r="F71" s="6" t="n"/>
      <c r="G71" s="6" t="n"/>
    </row>
    <row r="72">
      <c r="A72" s="2" t="n">
        <v>71</v>
      </c>
      <c r="B72" s="5" t="n"/>
      <c r="C72" s="2" t="inlineStr">
        <is>
          <t>递延收益</t>
        </is>
      </c>
      <c r="D72" s="6" t="n"/>
      <c r="E72" s="6" t="n"/>
      <c r="F72" s="6" t="n"/>
      <c r="G72" s="6" t="n"/>
    </row>
    <row r="73">
      <c r="A73" s="2" t="n">
        <v>72</v>
      </c>
      <c r="B73" s="5" t="n"/>
      <c r="C73" s="2" t="inlineStr">
        <is>
          <t>递延所得税负债</t>
        </is>
      </c>
      <c r="D73" s="6" t="n"/>
      <c r="E73" s="6" t="n"/>
      <c r="F73" s="6" t="n"/>
      <c r="G73" s="6" t="n"/>
    </row>
    <row r="74">
      <c r="A74" s="2" t="n">
        <v>73</v>
      </c>
      <c r="B74" s="5" t="n"/>
      <c r="C74" s="2" t="inlineStr">
        <is>
          <t>其他非流动负债</t>
        </is>
      </c>
      <c r="D74" s="6" t="n"/>
      <c r="E74" s="6" t="n"/>
      <c r="F74" s="6" t="n"/>
      <c r="G74" s="6" t="n"/>
    </row>
    <row r="75">
      <c r="A75" s="2" t="n">
        <v>74</v>
      </c>
      <c r="B75" s="5" t="n"/>
      <c r="C75" s="2" t="inlineStr">
        <is>
          <t>负债合计</t>
        </is>
      </c>
      <c r="D75" s="4">
        <f>D44+D63</f>
        <v/>
      </c>
      <c r="E75" s="4">
        <f>E44+E63</f>
        <v/>
      </c>
      <c r="F75" s="4">
        <f>F44+F63</f>
        <v/>
      </c>
      <c r="G75" s="4">
        <f>G44+G63</f>
        <v/>
      </c>
    </row>
    <row r="76">
      <c r="A76" s="2" t="n">
        <v>75</v>
      </c>
      <c r="B76" s="5" t="n"/>
      <c r="C76" s="2" t="inlineStr">
        <is>
          <t>所有者权益合计</t>
        </is>
      </c>
      <c r="D76" s="4">
        <f>D88+D89</f>
        <v/>
      </c>
      <c r="E76" s="4">
        <f>E88+E89</f>
        <v/>
      </c>
      <c r="F76" s="4">
        <f>F88+F89</f>
        <v/>
      </c>
      <c r="G76" s="4">
        <f>G88+G89</f>
        <v/>
      </c>
    </row>
    <row r="77">
      <c r="A77" s="2" t="n">
        <v>76</v>
      </c>
      <c r="B77" s="5" t="n"/>
      <c r="C77" s="2" t="inlineStr">
        <is>
          <t>实收资本 (或股本)</t>
        </is>
      </c>
      <c r="D77" s="6" t="n"/>
      <c r="E77" s="6" t="n"/>
      <c r="F77" s="6" t="n"/>
      <c r="G77" s="6" t="n"/>
    </row>
    <row r="78">
      <c r="A78" s="2" t="n">
        <v>77</v>
      </c>
      <c r="B78" s="5" t="n"/>
      <c r="C78" s="2" t="inlineStr">
        <is>
          <t>其他权益工具</t>
        </is>
      </c>
      <c r="D78" s="6" t="n"/>
      <c r="E78" s="6" t="n"/>
      <c r="F78" s="6" t="n"/>
      <c r="G78" s="6" t="n"/>
    </row>
    <row r="79">
      <c r="A79" s="2" t="n">
        <v>78</v>
      </c>
      <c r="B79" s="5" t="n"/>
      <c r="C79" s="2" t="inlineStr">
        <is>
          <t>其中：优先股 (权益类)</t>
        </is>
      </c>
      <c r="D79" s="6" t="n"/>
      <c r="E79" s="6" t="n"/>
      <c r="F79" s="6" t="n"/>
      <c r="G79" s="6" t="n"/>
    </row>
    <row r="80">
      <c r="A80" s="2" t="n">
        <v>79</v>
      </c>
      <c r="B80" s="5" t="n"/>
      <c r="C80" s="2" t="inlineStr">
        <is>
          <t>其中：永续债 (权益类)</t>
        </is>
      </c>
      <c r="D80" s="6" t="n"/>
      <c r="E80" s="6" t="n"/>
      <c r="F80" s="6" t="n"/>
      <c r="G80" s="6" t="n"/>
    </row>
    <row r="81">
      <c r="A81" s="2" t="n">
        <v>80</v>
      </c>
      <c r="B81" s="5" t="n"/>
      <c r="C81" s="2" t="inlineStr">
        <is>
          <t>资本公积</t>
        </is>
      </c>
      <c r="D81" s="6" t="n"/>
      <c r="E81" s="6" t="n"/>
      <c r="F81" s="6" t="n"/>
      <c r="G81" s="6" t="n"/>
    </row>
    <row r="82">
      <c r="A82" s="2" t="n">
        <v>81</v>
      </c>
      <c r="B82" s="5" t="n"/>
      <c r="C82" s="2" t="inlineStr">
        <is>
          <t>减：库存股</t>
        </is>
      </c>
      <c r="D82" s="6" t="n"/>
      <c r="E82" s="6" t="n"/>
      <c r="F82" s="6" t="n"/>
      <c r="G82" s="6" t="n"/>
    </row>
    <row r="83">
      <c r="A83" s="2" t="n">
        <v>82</v>
      </c>
      <c r="B83" s="5" t="n"/>
      <c r="C83" s="2" t="inlineStr">
        <is>
          <t>其他综合收益</t>
        </is>
      </c>
      <c r="D83" s="6" t="n"/>
      <c r="E83" s="6" t="n"/>
      <c r="F83" s="6" t="n"/>
      <c r="G83" s="6" t="n"/>
    </row>
    <row r="84">
      <c r="A84" s="2" t="n">
        <v>83</v>
      </c>
      <c r="B84" s="5" t="n"/>
      <c r="C84" s="2" t="inlineStr">
        <is>
          <t>专项储备</t>
        </is>
      </c>
      <c r="D84" s="6" t="n"/>
      <c r="E84" s="6" t="n"/>
      <c r="F84" s="6" t="n"/>
      <c r="G84" s="6" t="n"/>
    </row>
    <row r="85">
      <c r="A85" s="2" t="n">
        <v>84</v>
      </c>
      <c r="B85" s="5" t="n"/>
      <c r="C85" s="2" t="inlineStr">
        <is>
          <t>盈余公积</t>
        </is>
      </c>
      <c r="D85" s="6" t="n"/>
      <c r="E85" s="6" t="n"/>
      <c r="F85" s="6" t="n"/>
      <c r="G85" s="6" t="n"/>
    </row>
    <row r="86">
      <c r="A86" s="2" t="n">
        <v>85</v>
      </c>
      <c r="B86" s="5" t="n"/>
      <c r="C86" s="2" t="inlineStr">
        <is>
          <t>一般风险准备</t>
        </is>
      </c>
      <c r="D86" s="6" t="n"/>
      <c r="E86" s="6" t="n"/>
      <c r="F86" s="6" t="n"/>
      <c r="G86" s="6" t="n"/>
    </row>
    <row r="87">
      <c r="A87" s="2" t="n">
        <v>86</v>
      </c>
      <c r="B87" s="5" t="n"/>
      <c r="C87" s="2" t="inlineStr">
        <is>
          <t>未分配利润</t>
        </is>
      </c>
      <c r="D87" s="6" t="n"/>
      <c r="E87" s="6" t="n"/>
      <c r="F87" s="6" t="n"/>
      <c r="G87" s="6" t="n"/>
    </row>
    <row r="88">
      <c r="A88" s="2" t="n">
        <v>87</v>
      </c>
      <c r="B88" s="5" t="n"/>
      <c r="C88" s="2" t="inlineStr">
        <is>
          <t>归属于母公司所有者权益合计</t>
        </is>
      </c>
      <c r="D88" s="4">
        <f>SUM(D77,D78,D81,D83,D84,D85,D86,D87)-SUM(D82)</f>
        <v/>
      </c>
      <c r="E88" s="4">
        <f>SUM(E77,E78,E81,E83,E84,E85,E86,E87)-SUM(E82)</f>
        <v/>
      </c>
      <c r="F88" s="4">
        <f>SUM(F77,F78,F81,F83,F84,F85,F86,F87)-SUM(F82)</f>
        <v/>
      </c>
      <c r="G88" s="4">
        <f>SUM(G77,G78,G81,G83,G84,G85,G86,G87)-SUM(G82)</f>
        <v/>
      </c>
    </row>
    <row r="89">
      <c r="A89" s="2" t="n">
        <v>88</v>
      </c>
      <c r="B89" s="5" t="n"/>
      <c r="C89" s="2" t="inlineStr">
        <is>
          <t>少数股东权益</t>
        </is>
      </c>
      <c r="D89" s="6" t="n"/>
      <c r="E89" s="6" t="n"/>
      <c r="F89" s="6" t="n"/>
      <c r="G89" s="6" t="n"/>
    </row>
    <row r="90">
      <c r="A90" s="2" t="n">
        <v>89</v>
      </c>
      <c r="B90" s="5" t="n"/>
      <c r="C90" s="2" t="inlineStr">
        <is>
          <t>负债和所有者权益总计</t>
        </is>
      </c>
      <c r="D90" s="4">
        <f>D75+D76</f>
        <v/>
      </c>
      <c r="E90" s="4">
        <f>E75+E76</f>
        <v/>
      </c>
      <c r="F90" s="4">
        <f>F75+F76</f>
        <v/>
      </c>
      <c r="G90" s="4">
        <f>G75+G76</f>
        <v/>
      </c>
    </row>
    <row r="91">
      <c r="A91" s="2" t="n">
        <v>90</v>
      </c>
      <c r="B91" s="7" t="n"/>
      <c r="C91" s="2" t="inlineStr">
        <is>
          <t>【配平检查】资产 - (负债+权益)</t>
        </is>
      </c>
      <c r="D91" s="8">
        <f>D43-D90</f>
        <v/>
      </c>
      <c r="E91" s="8">
        <f>E43-E90</f>
        <v/>
      </c>
      <c r="F91" s="8">
        <f>F43-F90</f>
        <v/>
      </c>
      <c r="G91" s="8">
        <f>G43-G90</f>
        <v/>
      </c>
    </row>
    <row r="92">
      <c r="A92" s="2" t="inlineStr"/>
      <c r="B92" s="3" t="inlineStr"/>
      <c r="C92" s="2" t="inlineStr"/>
      <c r="D92" s="9" t="n"/>
      <c r="E92" s="9" t="n"/>
      <c r="F92" s="9" t="n"/>
      <c r="G92" s="9" t="n"/>
    </row>
    <row r="93">
      <c r="A93" s="2" t="n">
        <v>91</v>
      </c>
      <c r="B93" s="3" t="inlineStr">
        <is>
          <t>利润表</t>
        </is>
      </c>
      <c r="C93" s="2" t="inlineStr">
        <is>
          <t>营业总收入</t>
        </is>
      </c>
      <c r="D93" s="6" t="n"/>
      <c r="E93" s="6" t="n"/>
      <c r="F93" s="6" t="n"/>
      <c r="G93" s="6" t="n"/>
    </row>
    <row r="94">
      <c r="A94" s="2" t="n">
        <v>92</v>
      </c>
      <c r="B94" s="5" t="n"/>
      <c r="C94" s="2" t="inlineStr">
        <is>
          <t>营业收入</t>
        </is>
      </c>
      <c r="D94" s="6" t="n"/>
      <c r="E94" s="6" t="n"/>
      <c r="F94" s="6" t="n"/>
      <c r="G94" s="6" t="n"/>
    </row>
    <row r="95">
      <c r="A95" s="2" t="n">
        <v>93</v>
      </c>
      <c r="B95" s="5" t="n"/>
      <c r="C95" s="2" t="inlineStr">
        <is>
          <t>利息收入 / 手续费及佣金收入</t>
        </is>
      </c>
      <c r="D95" s="6" t="n"/>
      <c r="E95" s="6" t="n"/>
      <c r="F95" s="6" t="n"/>
      <c r="G95" s="6" t="n"/>
    </row>
    <row r="96">
      <c r="A96" s="2" t="n">
        <v>94</v>
      </c>
      <c r="B96" s="5" t="n"/>
      <c r="C96" s="2" t="inlineStr">
        <is>
          <t>营业总成本</t>
        </is>
      </c>
      <c r="D96" s="6" t="n"/>
      <c r="E96" s="6" t="n"/>
      <c r="F96" s="6" t="n"/>
      <c r="G96" s="6" t="n"/>
    </row>
    <row r="97">
      <c r="A97" s="2" t="n">
        <v>95</v>
      </c>
      <c r="B97" s="5" t="n"/>
      <c r="C97" s="2" t="inlineStr">
        <is>
          <t>营业成本</t>
        </is>
      </c>
      <c r="D97" s="6" t="n"/>
      <c r="E97" s="6" t="n"/>
      <c r="F97" s="6" t="n"/>
      <c r="G97" s="6" t="n"/>
    </row>
    <row r="98">
      <c r="A98" s="2" t="n">
        <v>96</v>
      </c>
      <c r="B98" s="5" t="n"/>
      <c r="C98" s="2" t="inlineStr">
        <is>
          <t>利息支出 / 手续费及佣金支出</t>
        </is>
      </c>
      <c r="D98" s="6" t="n"/>
      <c r="E98" s="6" t="n"/>
      <c r="F98" s="6" t="n"/>
      <c r="G98" s="6" t="n"/>
    </row>
    <row r="99">
      <c r="A99" s="2" t="n">
        <v>97</v>
      </c>
      <c r="B99" s="5" t="n"/>
      <c r="C99" s="2" t="inlineStr">
        <is>
          <t>税金及附加</t>
        </is>
      </c>
      <c r="D99" s="6" t="n"/>
      <c r="E99" s="6" t="n"/>
      <c r="F99" s="6" t="n"/>
      <c r="G99" s="6" t="n"/>
    </row>
    <row r="100">
      <c r="A100" s="2" t="n">
        <v>98</v>
      </c>
      <c r="B100" s="5" t="n"/>
      <c r="C100" s="2" t="inlineStr">
        <is>
          <t>销售费用</t>
        </is>
      </c>
      <c r="D100" s="6" t="n"/>
      <c r="E100" s="6" t="n"/>
      <c r="F100" s="6" t="n"/>
      <c r="G100" s="6" t="n"/>
    </row>
    <row r="101">
      <c r="A101" s="2" t="n">
        <v>99</v>
      </c>
      <c r="B101" s="5" t="n"/>
      <c r="C101" s="2" t="inlineStr">
        <is>
          <t>管理费用</t>
        </is>
      </c>
      <c r="D101" s="6" t="n"/>
      <c r="E101" s="6" t="n"/>
      <c r="F101" s="6" t="n"/>
      <c r="G101" s="6" t="n"/>
    </row>
    <row r="102">
      <c r="A102" s="2" t="n">
        <v>100</v>
      </c>
      <c r="B102" s="5" t="n"/>
      <c r="C102" s="2" t="inlineStr">
        <is>
          <t>研发费用</t>
        </is>
      </c>
      <c r="D102" s="6" t="n"/>
      <c r="E102" s="6" t="n"/>
      <c r="F102" s="6" t="n"/>
      <c r="G102" s="6" t="n"/>
    </row>
    <row r="103">
      <c r="A103" s="2" t="n">
        <v>101</v>
      </c>
      <c r="B103" s="5" t="n"/>
      <c r="C103" s="2" t="inlineStr">
        <is>
          <t>财务费用</t>
        </is>
      </c>
      <c r="D103" s="6" t="n"/>
      <c r="E103" s="6" t="n"/>
      <c r="F103" s="6" t="n"/>
      <c r="G103" s="6" t="n"/>
    </row>
    <row r="104">
      <c r="A104" s="2" t="n">
        <v>102</v>
      </c>
      <c r="B104" s="5" t="n"/>
      <c r="C104" s="2" t="inlineStr">
        <is>
          <t>其中：利息费用</t>
        </is>
      </c>
      <c r="D104" s="6" t="n"/>
      <c r="E104" s="6" t="n"/>
      <c r="F104" s="6" t="n"/>
      <c r="G104" s="6" t="n"/>
    </row>
    <row r="105">
      <c r="A105" s="2" t="n">
        <v>103</v>
      </c>
      <c r="B105" s="5" t="n"/>
      <c r="C105" s="2" t="inlineStr">
        <is>
          <t>其中：利息收入</t>
        </is>
      </c>
      <c r="D105" s="6" t="n"/>
      <c r="E105" s="6" t="n"/>
      <c r="F105" s="6" t="n"/>
      <c r="G105" s="6" t="n"/>
    </row>
    <row r="106">
      <c r="A106" s="2" t="n">
        <v>104</v>
      </c>
      <c r="B106" s="5" t="n"/>
      <c r="C106" s="2" t="inlineStr">
        <is>
          <t>加：其他收益</t>
        </is>
      </c>
      <c r="D106" s="6" t="n"/>
      <c r="E106" s="6" t="n"/>
      <c r="F106" s="6" t="n"/>
      <c r="G106" s="6" t="n"/>
    </row>
    <row r="107">
      <c r="A107" s="2" t="n">
        <v>105</v>
      </c>
      <c r="B107" s="5" t="n"/>
      <c r="C107" s="2" t="inlineStr">
        <is>
          <t>投资收益</t>
        </is>
      </c>
      <c r="D107" s="6" t="n"/>
      <c r="E107" s="6" t="n"/>
      <c r="F107" s="6" t="n"/>
      <c r="G107" s="6" t="n"/>
    </row>
    <row r="108">
      <c r="A108" s="2" t="n">
        <v>106</v>
      </c>
      <c r="B108" s="5" t="n"/>
      <c r="C108" s="2" t="inlineStr">
        <is>
          <t>其中：对联营企业和合营企业的投资收益</t>
        </is>
      </c>
      <c r="D108" s="6" t="n"/>
      <c r="E108" s="6" t="n"/>
      <c r="F108" s="6" t="n"/>
      <c r="G108" s="6" t="n"/>
    </row>
    <row r="109">
      <c r="A109" s="2" t="n">
        <v>107</v>
      </c>
      <c r="B109" s="5" t="n"/>
      <c r="C109" s="2" t="inlineStr">
        <is>
          <t>以摊余成本计量的金融资产终止确认收益</t>
        </is>
      </c>
      <c r="D109" s="6" t="n"/>
      <c r="E109" s="6" t="n"/>
      <c r="F109" s="6" t="n"/>
      <c r="G109" s="6" t="n"/>
    </row>
    <row r="110">
      <c r="A110" s="2" t="n">
        <v>108</v>
      </c>
      <c r="B110" s="5" t="n"/>
      <c r="C110" s="2" t="inlineStr">
        <is>
          <t>净敞口套期收益 / 汇兑收益</t>
        </is>
      </c>
      <c r="D110" s="6" t="n"/>
      <c r="E110" s="6" t="n"/>
      <c r="F110" s="6" t="n"/>
      <c r="G110" s="6" t="n"/>
    </row>
    <row r="111">
      <c r="A111" s="2" t="n">
        <v>109</v>
      </c>
      <c r="B111" s="5" t="n"/>
      <c r="C111" s="2" t="inlineStr">
        <is>
          <t>公允价值变动收益</t>
        </is>
      </c>
      <c r="D111" s="6" t="n"/>
      <c r="E111" s="6" t="n"/>
      <c r="F111" s="6" t="n"/>
      <c r="G111" s="6" t="n"/>
    </row>
    <row r="112">
      <c r="A112" s="2" t="n">
        <v>110</v>
      </c>
      <c r="B112" s="5" t="n"/>
      <c r="C112" s="2" t="inlineStr">
        <is>
          <t>信用减值损失</t>
        </is>
      </c>
      <c r="D112" s="6" t="n"/>
      <c r="E112" s="6" t="n"/>
      <c r="F112" s="6" t="n"/>
      <c r="G112" s="6" t="n"/>
    </row>
    <row r="113">
      <c r="A113" s="2" t="n">
        <v>111</v>
      </c>
      <c r="B113" s="5" t="n"/>
      <c r="C113" s="2" t="inlineStr">
        <is>
          <t>资产减值损失</t>
        </is>
      </c>
      <c r="D113" s="6" t="n"/>
      <c r="E113" s="6" t="n"/>
      <c r="F113" s="6" t="n"/>
      <c r="G113" s="6" t="n"/>
    </row>
    <row r="114">
      <c r="A114" s="2" t="n">
        <v>112</v>
      </c>
      <c r="B114" s="5" t="n"/>
      <c r="C114" s="2" t="inlineStr">
        <is>
          <t>资产处置收益</t>
        </is>
      </c>
      <c r="D114" s="6" t="n"/>
      <c r="E114" s="6" t="n"/>
      <c r="F114" s="6" t="n"/>
      <c r="G114" s="6" t="n"/>
    </row>
    <row r="115">
      <c r="A115" s="2" t="n">
        <v>113</v>
      </c>
      <c r="B115" s="5" t="n"/>
      <c r="C115" s="2" t="inlineStr">
        <is>
          <t>营业利润</t>
        </is>
      </c>
      <c r="D115" s="4">
        <f>D93-D96+D106+D107+D111-D112-D113+D114</f>
        <v/>
      </c>
      <c r="E115" s="4">
        <f>E93-E96+E106+E107+E111-E112-E113+E114</f>
        <v/>
      </c>
      <c r="F115" s="4">
        <f>F93-F96+F106+F107+F111-F112-F113+F114</f>
        <v/>
      </c>
      <c r="G115" s="4">
        <f>G93-G96+G106+G107+G111-G112-G113+G114</f>
        <v/>
      </c>
    </row>
    <row r="116">
      <c r="A116" s="2" t="n">
        <v>114</v>
      </c>
      <c r="B116" s="5" t="n"/>
      <c r="C116" s="2" t="inlineStr">
        <is>
          <t>加：营业外收入</t>
        </is>
      </c>
      <c r="D116" s="6" t="n"/>
      <c r="E116" s="6" t="n"/>
      <c r="F116" s="6" t="n"/>
      <c r="G116" s="6" t="n"/>
    </row>
    <row r="117">
      <c r="A117" s="2" t="n">
        <v>115</v>
      </c>
      <c r="B117" s="5" t="n"/>
      <c r="C117" s="2" t="inlineStr">
        <is>
          <t>减：营业外支出</t>
        </is>
      </c>
      <c r="D117" s="6" t="n"/>
      <c r="E117" s="6" t="n"/>
      <c r="F117" s="6" t="n"/>
      <c r="G117" s="6" t="n"/>
    </row>
    <row r="118">
      <c r="A118" s="2" t="n">
        <v>116</v>
      </c>
      <c r="B118" s="5" t="n"/>
      <c r="C118" s="2" t="inlineStr">
        <is>
          <t>利润总额</t>
        </is>
      </c>
      <c r="D118" s="4">
        <f>D115+D116-D117</f>
        <v/>
      </c>
      <c r="E118" s="4">
        <f>E115+E116-E117</f>
        <v/>
      </c>
      <c r="F118" s="4">
        <f>F115+F116-F117</f>
        <v/>
      </c>
      <c r="G118" s="4">
        <f>G115+G116-G117</f>
        <v/>
      </c>
    </row>
    <row r="119">
      <c r="A119" s="2" t="n">
        <v>117</v>
      </c>
      <c r="B119" s="5" t="n"/>
      <c r="C119" s="2" t="inlineStr">
        <is>
          <t>减：所得税费用</t>
        </is>
      </c>
      <c r="D119" s="6" t="n"/>
      <c r="E119" s="6" t="n"/>
      <c r="F119" s="6" t="n"/>
      <c r="G119" s="6" t="n"/>
    </row>
    <row r="120">
      <c r="A120" s="2" t="n">
        <v>118</v>
      </c>
      <c r="B120" s="5" t="n"/>
      <c r="C120" s="2" t="inlineStr">
        <is>
          <t>净利润</t>
        </is>
      </c>
      <c r="D120" s="4">
        <f>D118-D119</f>
        <v/>
      </c>
      <c r="E120" s="4">
        <f>E118-E119</f>
        <v/>
      </c>
      <c r="F120" s="4">
        <f>F118-F119</f>
        <v/>
      </c>
      <c r="G120" s="4">
        <f>G118-G119</f>
        <v/>
      </c>
    </row>
    <row r="121">
      <c r="A121" s="2" t="n">
        <v>119</v>
      </c>
      <c r="B121" s="5" t="n"/>
      <c r="C121" s="2" t="inlineStr">
        <is>
          <t>归属于母公司所有者的净利润</t>
        </is>
      </c>
      <c r="D121" s="6" t="n"/>
      <c r="E121" s="6" t="n"/>
      <c r="F121" s="6" t="n"/>
      <c r="G121" s="6" t="n"/>
    </row>
    <row r="122">
      <c r="A122" s="2" t="n">
        <v>120</v>
      </c>
      <c r="B122" s="5" t="n"/>
      <c r="C122" s="2" t="inlineStr">
        <is>
          <t>少数股东损益</t>
        </is>
      </c>
      <c r="D122" s="6" t="n"/>
      <c r="E122" s="6" t="n"/>
      <c r="F122" s="6" t="n"/>
      <c r="G122" s="6" t="n"/>
    </row>
    <row r="123">
      <c r="A123" s="2" t="n">
        <v>121</v>
      </c>
      <c r="B123" s="5" t="n"/>
      <c r="C123" s="2" t="inlineStr">
        <is>
          <t>综合收益总额</t>
        </is>
      </c>
      <c r="D123" s="6" t="n"/>
      <c r="E123" s="6" t="n"/>
      <c r="F123" s="6" t="n"/>
      <c r="G123" s="6" t="n"/>
    </row>
    <row r="124">
      <c r="A124" s="2" t="n">
        <v>122</v>
      </c>
      <c r="B124" s="7" t="n"/>
      <c r="C124" s="2" t="inlineStr">
        <is>
          <t>【利润勾稽】净利润 - (归母+少数)</t>
        </is>
      </c>
      <c r="D124" s="8">
        <f>D120-(D121+D122)</f>
        <v/>
      </c>
      <c r="E124" s="8">
        <f>E120-(E121+E122)</f>
        <v/>
      </c>
      <c r="F124" s="8">
        <f>F120-(F121+F122)</f>
        <v/>
      </c>
      <c r="G124" s="8">
        <f>G120-(G121+G122)</f>
        <v/>
      </c>
    </row>
    <row r="125">
      <c r="A125" s="2" t="inlineStr"/>
      <c r="B125" s="3" t="inlineStr"/>
      <c r="C125" s="2" t="inlineStr"/>
      <c r="D125" s="9" t="n"/>
      <c r="E125" s="9" t="n"/>
      <c r="F125" s="9" t="n"/>
      <c r="G125" s="9" t="n"/>
    </row>
    <row r="126">
      <c r="A126" s="2" t="n">
        <v>123</v>
      </c>
      <c r="B126" s="3" t="inlineStr">
        <is>
          <t>现金流量表</t>
        </is>
      </c>
      <c r="C126" s="2" t="inlineStr">
        <is>
          <t>经营活动产生的现金流量：</t>
        </is>
      </c>
      <c r="D126" s="6" t="n"/>
      <c r="E126" s="6" t="n"/>
      <c r="F126" s="6" t="n"/>
      <c r="G126" s="6" t="n"/>
    </row>
    <row r="127">
      <c r="A127" s="2" t="n">
        <v>124</v>
      </c>
      <c r="B127" s="5" t="n"/>
      <c r="C127" s="2" t="inlineStr">
        <is>
          <t>销售商品、提供劳务收到的现金</t>
        </is>
      </c>
      <c r="D127" s="6" t="n"/>
      <c r="E127" s="6" t="n"/>
      <c r="F127" s="6" t="n"/>
      <c r="G127" s="6" t="n"/>
    </row>
    <row r="128">
      <c r="A128" s="2" t="n">
        <v>125</v>
      </c>
      <c r="B128" s="5" t="n"/>
      <c r="C128" s="2" t="inlineStr">
        <is>
          <t>客户存款和同业存放款项净增加额</t>
        </is>
      </c>
      <c r="D128" s="6" t="n"/>
      <c r="E128" s="6" t="n"/>
      <c r="F128" s="6" t="n"/>
      <c r="G128" s="6" t="n"/>
    </row>
    <row r="129">
      <c r="A129" s="2" t="n">
        <v>126</v>
      </c>
      <c r="B129" s="5" t="n"/>
      <c r="C129" s="2" t="inlineStr">
        <is>
          <t>向中央银行借款净增加额 / 拆入资金净增加额</t>
        </is>
      </c>
      <c r="D129" s="6" t="n"/>
      <c r="E129" s="6" t="n"/>
      <c r="F129" s="6" t="n"/>
      <c r="G129" s="6" t="n"/>
    </row>
    <row r="130">
      <c r="A130" s="2" t="n">
        <v>127</v>
      </c>
      <c r="B130" s="5" t="n"/>
      <c r="C130" s="2" t="inlineStr">
        <is>
          <t>收取利息、手续费及佣金的现金</t>
        </is>
      </c>
      <c r="D130" s="6" t="n"/>
      <c r="E130" s="6" t="n"/>
      <c r="F130" s="6" t="n"/>
      <c r="G130" s="6" t="n"/>
    </row>
    <row r="131">
      <c r="A131" s="2" t="n">
        <v>128</v>
      </c>
      <c r="B131" s="5" t="n"/>
      <c r="C131" s="2" t="inlineStr">
        <is>
          <t>收到的税费返还</t>
        </is>
      </c>
      <c r="D131" s="6" t="n"/>
      <c r="E131" s="6" t="n"/>
      <c r="F131" s="6" t="n"/>
      <c r="G131" s="6" t="n"/>
    </row>
    <row r="132">
      <c r="A132" s="2" t="n">
        <v>129</v>
      </c>
      <c r="B132" s="5" t="n"/>
      <c r="C132" s="2" t="inlineStr">
        <is>
          <t>收到其他与经营活动有关的现金</t>
        </is>
      </c>
      <c r="D132" s="6" t="n"/>
      <c r="E132" s="6" t="n"/>
      <c r="F132" s="6" t="n"/>
      <c r="G132" s="6" t="n"/>
    </row>
    <row r="133">
      <c r="A133" s="2" t="n">
        <v>130</v>
      </c>
      <c r="B133" s="5" t="n"/>
      <c r="C133" s="2" t="inlineStr">
        <is>
          <t>经营活动现金流入小计</t>
        </is>
      </c>
      <c r="D133" s="4">
        <f>SUM(D127,D128,D129,D130,D131,D132)</f>
        <v/>
      </c>
      <c r="E133" s="4">
        <f>SUM(E127,E128,E129,E130,E131,E132)</f>
        <v/>
      </c>
      <c r="F133" s="4">
        <f>SUM(F127,F128,F129,F130,F131,F132)</f>
        <v/>
      </c>
      <c r="G133" s="4">
        <f>SUM(G127,G128,G129,G130,G131,G132)</f>
        <v/>
      </c>
    </row>
    <row r="134">
      <c r="A134" s="2" t="n">
        <v>131</v>
      </c>
      <c r="B134" s="5" t="n"/>
      <c r="C134" s="2" t="inlineStr">
        <is>
          <t>购买商品、接受劳务支付的现金</t>
        </is>
      </c>
      <c r="D134" s="6" t="n"/>
      <c r="E134" s="6" t="n"/>
      <c r="F134" s="6" t="n"/>
      <c r="G134" s="6" t="n"/>
    </row>
    <row r="135">
      <c r="A135" s="2" t="n">
        <v>132</v>
      </c>
      <c r="B135" s="5" t="n"/>
      <c r="C135" s="2" t="inlineStr">
        <is>
          <t>客户贷款及垫款净增加额</t>
        </is>
      </c>
      <c r="D135" s="6" t="n"/>
      <c r="E135" s="6" t="n"/>
      <c r="F135" s="6" t="n"/>
      <c r="G135" s="6" t="n"/>
    </row>
    <row r="136">
      <c r="A136" s="2" t="n">
        <v>133</v>
      </c>
      <c r="B136" s="5" t="n"/>
      <c r="C136" s="2" t="inlineStr">
        <is>
          <t>存放中央银行和同业款项净增加额</t>
        </is>
      </c>
      <c r="D136" s="6" t="n"/>
      <c r="E136" s="6" t="n"/>
      <c r="F136" s="6" t="n"/>
      <c r="G136" s="6" t="n"/>
    </row>
    <row r="137">
      <c r="A137" s="2" t="n">
        <v>134</v>
      </c>
      <c r="B137" s="5" t="n"/>
      <c r="C137" s="2" t="inlineStr">
        <is>
          <t>支付利息、手续费及佣金的现金</t>
        </is>
      </c>
      <c r="D137" s="6" t="n"/>
      <c r="E137" s="6" t="n"/>
      <c r="F137" s="6" t="n"/>
      <c r="G137" s="6" t="n"/>
    </row>
    <row r="138">
      <c r="A138" s="2" t="n">
        <v>135</v>
      </c>
      <c r="B138" s="5" t="n"/>
      <c r="C138" s="2" t="inlineStr">
        <is>
          <t>支付给职工以及为职工支付的现金</t>
        </is>
      </c>
      <c r="D138" s="6" t="n"/>
      <c r="E138" s="6" t="n"/>
      <c r="F138" s="6" t="n"/>
      <c r="G138" s="6" t="n"/>
    </row>
    <row r="139">
      <c r="A139" s="2" t="n">
        <v>136</v>
      </c>
      <c r="B139" s="5" t="n"/>
      <c r="C139" s="2" t="inlineStr">
        <is>
          <t>支付的各项税费</t>
        </is>
      </c>
      <c r="D139" s="6" t="n"/>
      <c r="E139" s="6" t="n"/>
      <c r="F139" s="6" t="n"/>
      <c r="G139" s="6" t="n"/>
    </row>
    <row r="140">
      <c r="A140" s="2" t="n">
        <v>137</v>
      </c>
      <c r="B140" s="5" t="n"/>
      <c r="C140" s="2" t="inlineStr">
        <is>
          <t>支付其他与经营活动有关的现金</t>
        </is>
      </c>
      <c r="D140" s="6" t="n"/>
      <c r="E140" s="6" t="n"/>
      <c r="F140" s="6" t="n"/>
      <c r="G140" s="6" t="n"/>
    </row>
    <row r="141">
      <c r="A141" s="2" t="n">
        <v>138</v>
      </c>
      <c r="B141" s="5" t="n"/>
      <c r="C141" s="2" t="inlineStr">
        <is>
          <t>经营活动现金流出小计</t>
        </is>
      </c>
      <c r="D141" s="4">
        <f>SUM(D134,D135,D136,D137,D138,D139,D140)</f>
        <v/>
      </c>
      <c r="E141" s="4">
        <f>SUM(E134,E135,E136,E137,E138,E139,E140)</f>
        <v/>
      </c>
      <c r="F141" s="4">
        <f>SUM(F134,F135,F136,F137,F138,F139,F140)</f>
        <v/>
      </c>
      <c r="G141" s="4">
        <f>SUM(G134,G135,G136,G137,G138,G139,G140)</f>
        <v/>
      </c>
    </row>
    <row r="142">
      <c r="A142" s="2" t="n">
        <v>139</v>
      </c>
      <c r="B142" s="5" t="n"/>
      <c r="C142" s="2" t="inlineStr">
        <is>
          <t>经营活动产生的现金流量净额</t>
        </is>
      </c>
      <c r="D142" s="4">
        <f>D133-D141</f>
        <v/>
      </c>
      <c r="E142" s="4">
        <f>E133-E141</f>
        <v/>
      </c>
      <c r="F142" s="4">
        <f>F133-F141</f>
        <v/>
      </c>
      <c r="G142" s="4">
        <f>G133-G141</f>
        <v/>
      </c>
    </row>
    <row r="143">
      <c r="A143" s="2" t="n">
        <v>140</v>
      </c>
      <c r="B143" s="5" t="n"/>
      <c r="C143" s="2" t="inlineStr">
        <is>
          <t>投资活动产生的现金流量：</t>
        </is>
      </c>
      <c r="D143" s="6" t="n"/>
      <c r="E143" s="6" t="n"/>
      <c r="F143" s="6" t="n"/>
      <c r="G143" s="6" t="n"/>
    </row>
    <row r="144">
      <c r="A144" s="2" t="n">
        <v>141</v>
      </c>
      <c r="B144" s="5" t="n"/>
      <c r="C144" s="2" t="inlineStr">
        <is>
          <t>收回投资收到的现金</t>
        </is>
      </c>
      <c r="D144" s="6" t="n"/>
      <c r="E144" s="6" t="n"/>
      <c r="F144" s="6" t="n"/>
      <c r="G144" s="6" t="n"/>
    </row>
    <row r="145">
      <c r="A145" s="2" t="n">
        <v>142</v>
      </c>
      <c r="B145" s="5" t="n"/>
      <c r="C145" s="2" t="inlineStr">
        <is>
          <t>取得投资收益收到的现金</t>
        </is>
      </c>
      <c r="D145" s="6" t="n"/>
      <c r="E145" s="6" t="n"/>
      <c r="F145" s="6" t="n"/>
      <c r="G145" s="6" t="n"/>
    </row>
    <row r="146">
      <c r="A146" s="2" t="n">
        <v>143</v>
      </c>
      <c r="B146" s="5" t="n"/>
      <c r="C146" s="2" t="inlineStr">
        <is>
          <t>处置固定资产、无形资产和其他长期资产收回的现金净额</t>
        </is>
      </c>
      <c r="D146" s="6" t="n"/>
      <c r="E146" s="6" t="n"/>
      <c r="F146" s="6" t="n"/>
      <c r="G146" s="6" t="n"/>
    </row>
    <row r="147">
      <c r="A147" s="2" t="n">
        <v>144</v>
      </c>
      <c r="B147" s="5" t="n"/>
      <c r="C147" s="2" t="inlineStr">
        <is>
          <t>处置子公司及其他营业单位收到的现金净额</t>
        </is>
      </c>
      <c r="D147" s="6" t="n"/>
      <c r="E147" s="6" t="n"/>
      <c r="F147" s="6" t="n"/>
      <c r="G147" s="6" t="n"/>
    </row>
    <row r="148">
      <c r="A148" s="2" t="n">
        <v>145</v>
      </c>
      <c r="B148" s="5" t="n"/>
      <c r="C148" s="2" t="inlineStr">
        <is>
          <t>收到其他与投资活动有关的现金</t>
        </is>
      </c>
      <c r="D148" s="6" t="n"/>
      <c r="E148" s="6" t="n"/>
      <c r="F148" s="6" t="n"/>
      <c r="G148" s="6" t="n"/>
    </row>
    <row r="149">
      <c r="A149" s="2" t="n">
        <v>146</v>
      </c>
      <c r="B149" s="5" t="n"/>
      <c r="C149" s="2" t="inlineStr">
        <is>
          <t>投资活动现金流入小计</t>
        </is>
      </c>
      <c r="D149" s="4">
        <f>SUM(D144,D145,D146,D147,D148)</f>
        <v/>
      </c>
      <c r="E149" s="4">
        <f>SUM(E144,E145,E146,E147,E148)</f>
        <v/>
      </c>
      <c r="F149" s="4">
        <f>SUM(F144,F145,F146,F147,F148)</f>
        <v/>
      </c>
      <c r="G149" s="4">
        <f>SUM(G144,G145,G146,G147,G148)</f>
        <v/>
      </c>
    </row>
    <row r="150">
      <c r="A150" s="2" t="n">
        <v>147</v>
      </c>
      <c r="B150" s="5" t="n"/>
      <c r="C150" s="2" t="inlineStr">
        <is>
          <t>购建固定资产、无形资产和其他长期资产支付的现金</t>
        </is>
      </c>
      <c r="D150" s="6" t="n"/>
      <c r="E150" s="6" t="n"/>
      <c r="F150" s="6" t="n"/>
      <c r="G150" s="6" t="n"/>
    </row>
    <row r="151">
      <c r="A151" s="2" t="n">
        <v>148</v>
      </c>
      <c r="B151" s="5" t="n"/>
      <c r="C151" s="2" t="inlineStr">
        <is>
          <t>投资支付的现金</t>
        </is>
      </c>
      <c r="D151" s="6" t="n"/>
      <c r="E151" s="6" t="n"/>
      <c r="F151" s="6" t="n"/>
      <c r="G151" s="6" t="n"/>
    </row>
    <row r="152">
      <c r="A152" s="2" t="n">
        <v>149</v>
      </c>
      <c r="B152" s="5" t="n"/>
      <c r="C152" s="2" t="inlineStr">
        <is>
          <t>质押贷款净增加额</t>
        </is>
      </c>
      <c r="D152" s="6" t="n"/>
      <c r="E152" s="6" t="n"/>
      <c r="F152" s="6" t="n"/>
      <c r="G152" s="6" t="n"/>
    </row>
    <row r="153">
      <c r="A153" s="2" t="n">
        <v>150</v>
      </c>
      <c r="B153" s="5" t="n"/>
      <c r="C153" s="2" t="inlineStr">
        <is>
          <t>取得子公司及其他营业单位支付的现金净额</t>
        </is>
      </c>
      <c r="D153" s="6" t="n"/>
      <c r="E153" s="6" t="n"/>
      <c r="F153" s="6" t="n"/>
      <c r="G153" s="6" t="n"/>
    </row>
    <row r="154">
      <c r="A154" s="2" t="n">
        <v>151</v>
      </c>
      <c r="B154" s="5" t="n"/>
      <c r="C154" s="2" t="inlineStr">
        <is>
          <t>支付其他与投资活动有关的现金</t>
        </is>
      </c>
      <c r="D154" s="6" t="n"/>
      <c r="E154" s="6" t="n"/>
      <c r="F154" s="6" t="n"/>
      <c r="G154" s="6" t="n"/>
    </row>
    <row r="155">
      <c r="A155" s="2" t="n">
        <v>152</v>
      </c>
      <c r="B155" s="5" t="n"/>
      <c r="C155" s="2" t="inlineStr">
        <is>
          <t>投资活动现金流出小计</t>
        </is>
      </c>
      <c r="D155" s="4">
        <f>SUM(D150,D151,D152,D153,D154)</f>
        <v/>
      </c>
      <c r="E155" s="4">
        <f>SUM(E150,E151,E152,E153,E154)</f>
        <v/>
      </c>
      <c r="F155" s="4">
        <f>SUM(F150,F151,F152,F153,F154)</f>
        <v/>
      </c>
      <c r="G155" s="4">
        <f>SUM(G150,G151,G152,G153,G154)</f>
        <v/>
      </c>
    </row>
    <row r="156">
      <c r="A156" s="2" t="n">
        <v>153</v>
      </c>
      <c r="B156" s="5" t="n"/>
      <c r="C156" s="2" t="inlineStr">
        <is>
          <t>投资活动产生的现金流量净额</t>
        </is>
      </c>
      <c r="D156" s="4">
        <f>D149-D155</f>
        <v/>
      </c>
      <c r="E156" s="4">
        <f>E149-E155</f>
        <v/>
      </c>
      <c r="F156" s="4">
        <f>F149-F155</f>
        <v/>
      </c>
      <c r="G156" s="4">
        <f>G149-G155</f>
        <v/>
      </c>
    </row>
    <row r="157">
      <c r="A157" s="2" t="n">
        <v>154</v>
      </c>
      <c r="B157" s="5" t="n"/>
      <c r="C157" s="2" t="inlineStr">
        <is>
          <t>筹资活动产生的现金流量：</t>
        </is>
      </c>
      <c r="D157" s="6" t="n"/>
      <c r="E157" s="6" t="n"/>
      <c r="F157" s="6" t="n"/>
      <c r="G157" s="6" t="n"/>
    </row>
    <row r="158">
      <c r="A158" s="2" t="n">
        <v>155</v>
      </c>
      <c r="B158" s="5" t="n"/>
      <c r="C158" s="2" t="inlineStr">
        <is>
          <t>吸收投资收到的现金</t>
        </is>
      </c>
      <c r="D158" s="6" t="n"/>
      <c r="E158" s="6" t="n"/>
      <c r="F158" s="6" t="n"/>
      <c r="G158" s="6" t="n"/>
    </row>
    <row r="159">
      <c r="A159" s="2" t="n">
        <v>156</v>
      </c>
      <c r="B159" s="5" t="n"/>
      <c r="C159" s="2" t="inlineStr">
        <is>
          <t>其中：子公司吸收少数股东投资收到的现金</t>
        </is>
      </c>
      <c r="D159" s="6" t="n"/>
      <c r="E159" s="6" t="n"/>
      <c r="F159" s="6" t="n"/>
      <c r="G159" s="6" t="n"/>
    </row>
    <row r="160">
      <c r="A160" s="2" t="n">
        <v>157</v>
      </c>
      <c r="B160" s="5" t="n"/>
      <c r="C160" s="2" t="inlineStr">
        <is>
          <t>取得借款收到的现金</t>
        </is>
      </c>
      <c r="D160" s="6" t="n"/>
      <c r="E160" s="6" t="n"/>
      <c r="F160" s="6" t="n"/>
      <c r="G160" s="6" t="n"/>
    </row>
    <row r="161">
      <c r="A161" s="2" t="n">
        <v>158</v>
      </c>
      <c r="B161" s="5" t="n"/>
      <c r="C161" s="2" t="inlineStr">
        <is>
          <t>发行债券收到的现金</t>
        </is>
      </c>
      <c r="D161" s="6" t="n"/>
      <c r="E161" s="6" t="n"/>
      <c r="F161" s="6" t="n"/>
      <c r="G161" s="6" t="n"/>
    </row>
    <row r="162">
      <c r="A162" s="2" t="n">
        <v>159</v>
      </c>
      <c r="B162" s="5" t="n"/>
      <c r="C162" s="2" t="inlineStr">
        <is>
          <t>收到其他与筹资活动有关的现金</t>
        </is>
      </c>
      <c r="D162" s="6" t="n"/>
      <c r="E162" s="6" t="n"/>
      <c r="F162" s="6" t="n"/>
      <c r="G162" s="6" t="n"/>
    </row>
    <row r="163">
      <c r="A163" s="2" t="n">
        <v>160</v>
      </c>
      <c r="B163" s="5" t="n"/>
      <c r="C163" s="2" t="inlineStr">
        <is>
          <t>筹资活动现金流入小计</t>
        </is>
      </c>
      <c r="D163" s="4">
        <f>SUM(D158,D160,D161,D162)</f>
        <v/>
      </c>
      <c r="E163" s="4">
        <f>SUM(E158,E160,E161,E162)</f>
        <v/>
      </c>
      <c r="F163" s="4">
        <f>SUM(F158,F160,F161,F162)</f>
        <v/>
      </c>
      <c r="G163" s="4">
        <f>SUM(G158,G160,G161,G162)</f>
        <v/>
      </c>
    </row>
    <row r="164">
      <c r="A164" s="2" t="n">
        <v>161</v>
      </c>
      <c r="B164" s="5" t="n"/>
      <c r="C164" s="2" t="inlineStr">
        <is>
          <t>偿还债务支付的现金</t>
        </is>
      </c>
      <c r="D164" s="6" t="n"/>
      <c r="E164" s="6" t="n"/>
      <c r="F164" s="6" t="n"/>
      <c r="G164" s="6" t="n"/>
    </row>
    <row r="165">
      <c r="A165" s="2" t="n">
        <v>162</v>
      </c>
      <c r="B165" s="5" t="n"/>
      <c r="C165" s="2" t="inlineStr">
        <is>
          <t>分配股利、利润或偿付利息支付的现金</t>
        </is>
      </c>
      <c r="D165" s="6" t="n"/>
      <c r="E165" s="6" t="n"/>
      <c r="F165" s="6" t="n"/>
      <c r="G165" s="6" t="n"/>
    </row>
    <row r="166">
      <c r="A166" s="2" t="n">
        <v>163</v>
      </c>
      <c r="B166" s="5" t="n"/>
      <c r="C166" s="2" t="inlineStr">
        <is>
          <t>其中：子公司支付给少数股东的股利、利润</t>
        </is>
      </c>
      <c r="D166" s="6" t="n"/>
      <c r="E166" s="6" t="n"/>
      <c r="F166" s="6" t="n"/>
      <c r="G166" s="6" t="n"/>
    </row>
    <row r="167">
      <c r="A167" s="2" t="n">
        <v>164</v>
      </c>
      <c r="B167" s="5" t="n"/>
      <c r="C167" s="2" t="inlineStr">
        <is>
          <t>支付其他与筹资活动有关的现金</t>
        </is>
      </c>
      <c r="D167" s="6" t="n"/>
      <c r="E167" s="6" t="n"/>
      <c r="F167" s="6" t="n"/>
      <c r="G167" s="6" t="n"/>
    </row>
    <row r="168">
      <c r="A168" s="2" t="n">
        <v>165</v>
      </c>
      <c r="B168" s="5" t="n"/>
      <c r="C168" s="2" t="inlineStr">
        <is>
          <t>筹资活动现金流出小计</t>
        </is>
      </c>
      <c r="D168" s="4">
        <f>SUM(D164,D165,D167)</f>
        <v/>
      </c>
      <c r="E168" s="4">
        <f>SUM(E164,E165,E167)</f>
        <v/>
      </c>
      <c r="F168" s="4">
        <f>SUM(F164,F165,F167)</f>
        <v/>
      </c>
      <c r="G168" s="4">
        <f>SUM(G164,G165,G167)</f>
        <v/>
      </c>
    </row>
    <row r="169">
      <c r="A169" s="2" t="n">
        <v>166</v>
      </c>
      <c r="B169" s="5" t="n"/>
      <c r="C169" s="2" t="inlineStr">
        <is>
          <t>筹资活动产生的现金流量净额</t>
        </is>
      </c>
      <c r="D169" s="4">
        <f>D163-D168</f>
        <v/>
      </c>
      <c r="E169" s="4">
        <f>E163-E168</f>
        <v/>
      </c>
      <c r="F169" s="4">
        <f>F163-F168</f>
        <v/>
      </c>
      <c r="G169" s="4">
        <f>G163-G168</f>
        <v/>
      </c>
    </row>
    <row r="170">
      <c r="A170" s="2" t="n">
        <v>167</v>
      </c>
      <c r="B170" s="5" t="n"/>
      <c r="C170" s="2" t="inlineStr">
        <is>
          <t>汇率变动对现金及现金等价物的影响</t>
        </is>
      </c>
      <c r="D170" s="6" t="n"/>
      <c r="E170" s="6" t="n"/>
      <c r="F170" s="6" t="n"/>
      <c r="G170" s="6" t="n"/>
    </row>
    <row r="171">
      <c r="A171" s="2" t="n">
        <v>168</v>
      </c>
      <c r="B171" s="5" t="n"/>
      <c r="C171" s="2" t="inlineStr">
        <is>
          <t>现金及现金等价物净增加额</t>
        </is>
      </c>
      <c r="D171" s="4">
        <f>D142+D156+D169+D170</f>
        <v/>
      </c>
      <c r="E171" s="4">
        <f>E142+E156+E169+E170</f>
        <v/>
      </c>
      <c r="F171" s="4">
        <f>F142+F156+F169+F170</f>
        <v/>
      </c>
      <c r="G171" s="4">
        <f>G142+G156+G169+G170</f>
        <v/>
      </c>
    </row>
    <row r="172">
      <c r="A172" s="2" t="n">
        <v>169</v>
      </c>
      <c r="B172" s="5" t="n"/>
      <c r="C172" s="2" t="inlineStr">
        <is>
          <t>加：期初现金及现金等价物余额</t>
        </is>
      </c>
      <c r="D172" s="6" t="n"/>
      <c r="E172" s="6" t="n"/>
      <c r="F172" s="6" t="n"/>
      <c r="G172" s="6" t="n"/>
    </row>
    <row r="173">
      <c r="A173" s="2" t="n">
        <v>170</v>
      </c>
      <c r="B173" s="7" t="n"/>
      <c r="C173" s="2" t="inlineStr">
        <is>
          <t>期末现金及现金等价物余额</t>
        </is>
      </c>
      <c r="D173" s="4">
        <f>D171+D172</f>
        <v/>
      </c>
      <c r="E173" s="4">
        <f>E171+E172</f>
        <v/>
      </c>
      <c r="F173" s="4">
        <f>F171+F172</f>
        <v/>
      </c>
      <c r="G173" s="4">
        <f>G171+G172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B2:B91"/>
    <mergeCell ref="B126:B173"/>
    <mergeCell ref="B93:B1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分析板块</t>
        </is>
      </c>
      <c r="B1" s="1" t="inlineStr">
        <is>
          <t>财务分析科目</t>
        </is>
      </c>
      <c r="C1" s="1" t="inlineStr">
        <is>
          <t>合并口径 (单位:万元)</t>
        </is>
      </c>
      <c r="D1" s="1" t="n"/>
      <c r="E1" s="1" t="n"/>
      <c r="F1" s="1" t="n"/>
      <c r="G1" s="10" t="inlineStr">
        <is>
          <t>本部口径 (单位:万元)</t>
        </is>
      </c>
      <c r="H1" s="1" t="n"/>
      <c r="I1" s="1" t="n"/>
      <c r="J1" s="1" t="n"/>
    </row>
    <row r="2">
      <c r="A2" s="1" t="n"/>
      <c r="B2" s="1" t="n"/>
      <c r="C2" s="1" t="inlineStr">
        <is>
          <t>2022年</t>
        </is>
      </c>
      <c r="D2" s="1" t="inlineStr">
        <is>
          <t>2023年</t>
        </is>
      </c>
      <c r="E2" s="1" t="inlineStr">
        <is>
          <t>2024年</t>
        </is>
      </c>
      <c r="F2" s="1" t="inlineStr">
        <is>
          <t>最新一期</t>
        </is>
      </c>
      <c r="G2" s="1" t="inlineStr">
        <is>
          <t>2022年</t>
        </is>
      </c>
      <c r="H2" s="1" t="inlineStr">
        <is>
          <t>2023年</t>
        </is>
      </c>
      <c r="I2" s="1" t="inlineStr">
        <is>
          <t>2024年</t>
        </is>
      </c>
      <c r="J2" s="1" t="inlineStr">
        <is>
          <t>最新一期</t>
        </is>
      </c>
    </row>
    <row r="3">
      <c r="A3" s="11" t="inlineStr">
        <is>
          <t>资产</t>
        </is>
      </c>
      <c r="B3" s="12" t="inlineStr">
        <is>
          <t>总资产</t>
        </is>
      </c>
      <c r="C3" s="4">
        <f>'1.承租人-合并源数据'!D43/10000</f>
        <v/>
      </c>
      <c r="D3" s="4">
        <f>'1.承租人-合并源数据'!E43/10000</f>
        <v/>
      </c>
      <c r="E3" s="4">
        <f>'1.承租人-合并源数据'!F43/10000</f>
        <v/>
      </c>
      <c r="F3" s="4">
        <f>'1.承租人-合并源数据'!G43/10000</f>
        <v/>
      </c>
      <c r="G3" s="4">
        <f>'2.承租人-本部源数据'!D43/10000</f>
        <v/>
      </c>
      <c r="H3" s="4">
        <f>'2.承租人-本部源数据'!E43/10000</f>
        <v/>
      </c>
      <c r="I3" s="4">
        <f>'2.承租人-本部源数据'!F43/10000</f>
        <v/>
      </c>
      <c r="J3" s="4">
        <f>'2.承租人-本部源数据'!G43/10000</f>
        <v/>
      </c>
    </row>
    <row r="4">
      <c r="A4" s="5" t="n"/>
      <c r="B4" s="12" t="inlineStr">
        <is>
          <t>流动资产</t>
        </is>
      </c>
      <c r="C4" s="4">
        <f>'1.承租人-合并源数据'!D2/10000</f>
        <v/>
      </c>
      <c r="D4" s="4">
        <f>'1.承租人-合并源数据'!E2/10000</f>
        <v/>
      </c>
      <c r="E4" s="4">
        <f>'1.承租人-合并源数据'!F2/10000</f>
        <v/>
      </c>
      <c r="F4" s="4">
        <f>'1.承租人-合并源数据'!G2/10000</f>
        <v/>
      </c>
      <c r="G4" s="4">
        <f>'2.承租人-本部源数据'!D2/10000</f>
        <v/>
      </c>
      <c r="H4" s="4">
        <f>'2.承租人-本部源数据'!E2/10000</f>
        <v/>
      </c>
      <c r="I4" s="4">
        <f>'2.承租人-本部源数据'!F2/10000</f>
        <v/>
      </c>
      <c r="J4" s="4">
        <f>'2.承租人-本部源数据'!G2/10000</f>
        <v/>
      </c>
    </row>
    <row r="5">
      <c r="A5" s="5" t="n"/>
      <c r="B5" s="12" t="inlineStr">
        <is>
          <t>货币资金</t>
        </is>
      </c>
      <c r="C5" s="4">
        <f>'1.承租人-合并源数据'!D3/10000</f>
        <v/>
      </c>
      <c r="D5" s="4">
        <f>'1.承租人-合并源数据'!E3/10000</f>
        <v/>
      </c>
      <c r="E5" s="4">
        <f>'1.承租人-合并源数据'!F3/10000</f>
        <v/>
      </c>
      <c r="F5" s="4">
        <f>'1.承租人-合并源数据'!G3/10000</f>
        <v/>
      </c>
      <c r="G5" s="4">
        <f>'2.承租人-本部源数据'!D3/10000</f>
        <v/>
      </c>
      <c r="H5" s="4">
        <f>'2.承租人-本部源数据'!E3/10000</f>
        <v/>
      </c>
      <c r="I5" s="4">
        <f>'2.承租人-本部源数据'!F3/10000</f>
        <v/>
      </c>
      <c r="J5" s="4">
        <f>'2.承租人-本部源数据'!G3/10000</f>
        <v/>
      </c>
    </row>
    <row r="6">
      <c r="A6" s="5" t="n"/>
      <c r="B6" s="12" t="inlineStr">
        <is>
          <t>应收帐款</t>
        </is>
      </c>
      <c r="C6" s="4">
        <f>'1.承租人-合并源数据'!D10/10000</f>
        <v/>
      </c>
      <c r="D6" s="4">
        <f>'1.承租人-合并源数据'!E10/10000</f>
        <v/>
      </c>
      <c r="E6" s="4">
        <f>'1.承租人-合并源数据'!F10/10000</f>
        <v/>
      </c>
      <c r="F6" s="4">
        <f>'1.承租人-合并源数据'!G10/10000</f>
        <v/>
      </c>
      <c r="G6" s="4">
        <f>'2.承租人-本部源数据'!D10/10000</f>
        <v/>
      </c>
      <c r="H6" s="4">
        <f>'2.承租人-本部源数据'!E10/10000</f>
        <v/>
      </c>
      <c r="I6" s="4">
        <f>'2.承租人-本部源数据'!F10/10000</f>
        <v/>
      </c>
      <c r="J6" s="4">
        <f>'2.承租人-本部源数据'!G10/10000</f>
        <v/>
      </c>
    </row>
    <row r="7">
      <c r="A7" s="5" t="n"/>
      <c r="B7" s="12" t="inlineStr">
        <is>
          <t>其他应收款</t>
        </is>
      </c>
      <c r="C7" s="4">
        <f>'1.承租人-合并源数据'!D16/10000</f>
        <v/>
      </c>
      <c r="D7" s="4">
        <f>'1.承租人-合并源数据'!E16/10000</f>
        <v/>
      </c>
      <c r="E7" s="4">
        <f>'1.承租人-合并源数据'!F16/10000</f>
        <v/>
      </c>
      <c r="F7" s="4">
        <f>'1.承租人-合并源数据'!G16/10000</f>
        <v/>
      </c>
      <c r="G7" s="4">
        <f>'2.承租人-本部源数据'!D16/10000</f>
        <v/>
      </c>
      <c r="H7" s="4">
        <f>'2.承租人-本部源数据'!E16/10000</f>
        <v/>
      </c>
      <c r="I7" s="4">
        <f>'2.承租人-本部源数据'!F16/10000</f>
        <v/>
      </c>
      <c r="J7" s="4">
        <f>'2.承租人-本部源数据'!G16/10000</f>
        <v/>
      </c>
    </row>
    <row r="8">
      <c r="A8" s="5" t="n"/>
      <c r="B8" s="12" t="inlineStr">
        <is>
          <t>预付帐款</t>
        </is>
      </c>
      <c r="C8" s="4">
        <f>'1.承租人-合并源数据'!D12/10000</f>
        <v/>
      </c>
      <c r="D8" s="4">
        <f>'1.承租人-合并源数据'!E12/10000</f>
        <v/>
      </c>
      <c r="E8" s="4">
        <f>'1.承租人-合并源数据'!F12/10000</f>
        <v/>
      </c>
      <c r="F8" s="4">
        <f>'1.承租人-合并源数据'!G12/10000</f>
        <v/>
      </c>
      <c r="G8" s="4">
        <f>'2.承租人-本部源数据'!D12/10000</f>
        <v/>
      </c>
      <c r="H8" s="4">
        <f>'2.承租人-本部源数据'!E12/10000</f>
        <v/>
      </c>
      <c r="I8" s="4">
        <f>'2.承租人-本部源数据'!F12/10000</f>
        <v/>
      </c>
      <c r="J8" s="4">
        <f>'2.承租人-本部源数据'!G12/10000</f>
        <v/>
      </c>
    </row>
    <row r="9">
      <c r="A9" s="5" t="n"/>
      <c r="B9" s="12" t="inlineStr">
        <is>
          <t>存货</t>
        </is>
      </c>
      <c r="C9" s="4">
        <f>'1.承租人-合并源数据'!D18/10000</f>
        <v/>
      </c>
      <c r="D9" s="4">
        <f>'1.承租人-合并源数据'!E18/10000</f>
        <v/>
      </c>
      <c r="E9" s="4">
        <f>'1.承租人-合并源数据'!F18/10000</f>
        <v/>
      </c>
      <c r="F9" s="4">
        <f>'1.承租人-合并源数据'!G18/10000</f>
        <v/>
      </c>
      <c r="G9" s="4">
        <f>'2.承租人-本部源数据'!D18/10000</f>
        <v/>
      </c>
      <c r="H9" s="4">
        <f>'2.承租人-本部源数据'!E18/10000</f>
        <v/>
      </c>
      <c r="I9" s="4">
        <f>'2.承租人-本部源数据'!F18/10000</f>
        <v/>
      </c>
      <c r="J9" s="4">
        <f>'2.承租人-本部源数据'!G18/10000</f>
        <v/>
      </c>
    </row>
    <row r="10">
      <c r="A10" s="5" t="n"/>
      <c r="B10" s="12" t="inlineStr">
        <is>
          <t>其他流动资产</t>
        </is>
      </c>
      <c r="C10" s="4">
        <f>'1.承租人-合并源数据'!D22/10000</f>
        <v/>
      </c>
      <c r="D10" s="4">
        <f>'1.承租人-合并源数据'!E22/10000</f>
        <v/>
      </c>
      <c r="E10" s="4">
        <f>'1.承租人-合并源数据'!F22/10000</f>
        <v/>
      </c>
      <c r="F10" s="4">
        <f>'1.承租人-合并源数据'!G22/10000</f>
        <v/>
      </c>
      <c r="G10" s="4">
        <f>'2.承租人-本部源数据'!D22/10000</f>
        <v/>
      </c>
      <c r="H10" s="4">
        <f>'2.承租人-本部源数据'!E22/10000</f>
        <v/>
      </c>
      <c r="I10" s="4">
        <f>'2.承租人-本部源数据'!F22/10000</f>
        <v/>
      </c>
      <c r="J10" s="4">
        <f>'2.承租人-本部源数据'!G22/10000</f>
        <v/>
      </c>
    </row>
    <row r="11">
      <c r="A11" s="5" t="n"/>
      <c r="B11" s="12" t="inlineStr">
        <is>
          <t>持有至到期投资</t>
        </is>
      </c>
      <c r="C11" s="4">
        <f>'1.承租人-合并源数据'!D25/10000</f>
        <v/>
      </c>
      <c r="D11" s="4">
        <f>'1.承租人-合并源数据'!E25/10000</f>
        <v/>
      </c>
      <c r="E11" s="4">
        <f>'1.承租人-合并源数据'!F25/10000</f>
        <v/>
      </c>
      <c r="F11" s="4">
        <f>'1.承租人-合并源数据'!G25/10000</f>
        <v/>
      </c>
      <c r="G11" s="4">
        <f>'2.承租人-本部源数据'!D25/10000</f>
        <v/>
      </c>
      <c r="H11" s="4">
        <f>'2.承租人-本部源数据'!E25/10000</f>
        <v/>
      </c>
      <c r="I11" s="4">
        <f>'2.承租人-本部源数据'!F25/10000</f>
        <v/>
      </c>
      <c r="J11" s="4">
        <f>'2.承租人-本部源数据'!G25/10000</f>
        <v/>
      </c>
    </row>
    <row r="12">
      <c r="A12" s="5" t="n"/>
      <c r="B12" s="12" t="inlineStr">
        <is>
          <t>长期股权投资</t>
        </is>
      </c>
      <c r="C12" s="4">
        <f>'1.承租人-合并源数据'!D28/10000</f>
        <v/>
      </c>
      <c r="D12" s="4">
        <f>'1.承租人-合并源数据'!E28/10000</f>
        <v/>
      </c>
      <c r="E12" s="4">
        <f>'1.承租人-合并源数据'!F28/10000</f>
        <v/>
      </c>
      <c r="F12" s="4">
        <f>'1.承租人-合并源数据'!G28/10000</f>
        <v/>
      </c>
      <c r="G12" s="4">
        <f>'2.承租人-本部源数据'!D28/10000</f>
        <v/>
      </c>
      <c r="H12" s="4">
        <f>'2.承租人-本部源数据'!E28/10000</f>
        <v/>
      </c>
      <c r="I12" s="4">
        <f>'2.承租人-本部源数据'!F28/10000</f>
        <v/>
      </c>
      <c r="J12" s="4">
        <f>'2.承租人-本部源数据'!G28/10000</f>
        <v/>
      </c>
    </row>
    <row r="13">
      <c r="A13" s="5" t="n"/>
      <c r="B13" s="12" t="inlineStr">
        <is>
          <t>投资性房地产</t>
        </is>
      </c>
      <c r="C13" s="4">
        <f>'1.承租人-合并源数据'!D31/10000</f>
        <v/>
      </c>
      <c r="D13" s="4">
        <f>'1.承租人-合并源数据'!E31/10000</f>
        <v/>
      </c>
      <c r="E13" s="4">
        <f>'1.承租人-合并源数据'!F31/10000</f>
        <v/>
      </c>
      <c r="F13" s="4">
        <f>'1.承租人-合并源数据'!G31/10000</f>
        <v/>
      </c>
      <c r="G13" s="4">
        <f>'2.承租人-本部源数据'!D31/10000</f>
        <v/>
      </c>
      <c r="H13" s="4">
        <f>'2.承租人-本部源数据'!E31/10000</f>
        <v/>
      </c>
      <c r="I13" s="4">
        <f>'2.承租人-本部源数据'!F31/10000</f>
        <v/>
      </c>
      <c r="J13" s="4">
        <f>'2.承租人-本部源数据'!G31/10000</f>
        <v/>
      </c>
    </row>
    <row r="14">
      <c r="A14" s="5" t="n"/>
      <c r="B14" s="12" t="inlineStr">
        <is>
          <t>固定资产</t>
        </is>
      </c>
      <c r="C14" s="4">
        <f>'1.承租人-合并源数据'!D32/10000</f>
        <v/>
      </c>
      <c r="D14" s="4">
        <f>'1.承租人-合并源数据'!E32/10000</f>
        <v/>
      </c>
      <c r="E14" s="4">
        <f>'1.承租人-合并源数据'!F32/10000</f>
        <v/>
      </c>
      <c r="F14" s="4">
        <f>'1.承租人-合并源数据'!G32/10000</f>
        <v/>
      </c>
      <c r="G14" s="4">
        <f>'2.承租人-本部源数据'!D32/10000</f>
        <v/>
      </c>
      <c r="H14" s="4">
        <f>'2.承租人-本部源数据'!E32/10000</f>
        <v/>
      </c>
      <c r="I14" s="4">
        <f>'2.承租人-本部源数据'!F32/10000</f>
        <v/>
      </c>
      <c r="J14" s="4">
        <f>'2.承租人-本部源数据'!G32/10000</f>
        <v/>
      </c>
    </row>
    <row r="15">
      <c r="A15" s="5" t="n"/>
      <c r="B15" s="2" t="inlineStr">
        <is>
          <t>其中：本期新增折旧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</row>
    <row r="16">
      <c r="A16" s="5" t="n"/>
      <c r="B16" s="12" t="inlineStr">
        <is>
          <t>在建工程</t>
        </is>
      </c>
      <c r="C16" s="4">
        <f>'1.承租人-合并源数据'!D34/10000</f>
        <v/>
      </c>
      <c r="D16" s="4">
        <f>'1.承租人-合并源数据'!E34/10000</f>
        <v/>
      </c>
      <c r="E16" s="4">
        <f>'1.承租人-合并源数据'!F34/10000</f>
        <v/>
      </c>
      <c r="F16" s="4">
        <f>'1.承租人-合并源数据'!G34/10000</f>
        <v/>
      </c>
      <c r="G16" s="4">
        <f>'2.承租人-本部源数据'!D34/10000</f>
        <v/>
      </c>
      <c r="H16" s="4">
        <f>'2.承租人-本部源数据'!E34/10000</f>
        <v/>
      </c>
      <c r="I16" s="4">
        <f>'2.承租人-本部源数据'!F34/10000</f>
        <v/>
      </c>
      <c r="J16" s="4">
        <f>'2.承租人-本部源数据'!G34/10000</f>
        <v/>
      </c>
    </row>
    <row r="17">
      <c r="A17" s="5" t="n"/>
      <c r="B17" s="12" t="inlineStr">
        <is>
          <t>无形资产</t>
        </is>
      </c>
      <c r="C17" s="4">
        <f>'1.承租人-合并源数据'!D37/10000</f>
        <v/>
      </c>
      <c r="D17" s="4">
        <f>'1.承租人-合并源数据'!E37/10000</f>
        <v/>
      </c>
      <c r="E17" s="4">
        <f>'1.承租人-合并源数据'!F37/10000</f>
        <v/>
      </c>
      <c r="F17" s="4">
        <f>'1.承租人-合并源数据'!G37/10000</f>
        <v/>
      </c>
      <c r="G17" s="4">
        <f>'2.承租人-本部源数据'!D37/10000</f>
        <v/>
      </c>
      <c r="H17" s="4">
        <f>'2.承租人-本部源数据'!E37/10000</f>
        <v/>
      </c>
      <c r="I17" s="4">
        <f>'2.承租人-本部源数据'!F37/10000</f>
        <v/>
      </c>
      <c r="J17" s="4">
        <f>'2.承租人-本部源数据'!G37/10000</f>
        <v/>
      </c>
    </row>
    <row r="18">
      <c r="A18" s="5" t="n"/>
      <c r="B18" s="2" t="inlineStr">
        <is>
          <t>其中：本期新增摊销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</row>
    <row r="19">
      <c r="A19" s="5" t="n"/>
      <c r="B19" s="12" t="inlineStr">
        <is>
          <t>长期待摊费用</t>
        </is>
      </c>
      <c r="C19" s="4">
        <f>'1.承租人-合并源数据'!D40/10000</f>
        <v/>
      </c>
      <c r="D19" s="4">
        <f>'1.承租人-合并源数据'!E40/10000</f>
        <v/>
      </c>
      <c r="E19" s="4">
        <f>'1.承租人-合并源数据'!F40/10000</f>
        <v/>
      </c>
      <c r="F19" s="4">
        <f>'1.承租人-合并源数据'!G40/10000</f>
        <v/>
      </c>
      <c r="G19" s="4">
        <f>'2.承租人-本部源数据'!D40/10000</f>
        <v/>
      </c>
      <c r="H19" s="4">
        <f>'2.承租人-本部源数据'!E40/10000</f>
        <v/>
      </c>
      <c r="I19" s="4">
        <f>'2.承租人-本部源数据'!F40/10000</f>
        <v/>
      </c>
      <c r="J19" s="4">
        <f>'2.承租人-本部源数据'!G40/10000</f>
        <v/>
      </c>
    </row>
    <row r="20">
      <c r="A20" s="5" t="n"/>
      <c r="B20" s="2" t="inlineStr">
        <is>
          <t>其中：本期新增摊销(长待)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</row>
    <row r="21">
      <c r="A21" s="5" t="n"/>
      <c r="B21" s="12" t="inlineStr">
        <is>
          <t>递延所得税资产</t>
        </is>
      </c>
      <c r="C21" s="4">
        <f>'1.承租人-合并源数据'!D41/10000</f>
        <v/>
      </c>
      <c r="D21" s="4">
        <f>'1.承租人-合并源数据'!E41/10000</f>
        <v/>
      </c>
      <c r="E21" s="4">
        <f>'1.承租人-合并源数据'!F41/10000</f>
        <v/>
      </c>
      <c r="F21" s="4">
        <f>'1.承租人-合并源数据'!G41/10000</f>
        <v/>
      </c>
      <c r="G21" s="4">
        <f>'2.承租人-本部源数据'!D41/10000</f>
        <v/>
      </c>
      <c r="H21" s="4">
        <f>'2.承租人-本部源数据'!E41/10000</f>
        <v/>
      </c>
      <c r="I21" s="4">
        <f>'2.承租人-本部源数据'!F41/10000</f>
        <v/>
      </c>
      <c r="J21" s="4">
        <f>'2.承租人-本部源数据'!G41/10000</f>
        <v/>
      </c>
    </row>
    <row r="22">
      <c r="A22" s="7" t="n"/>
      <c r="B22" s="12" t="inlineStr">
        <is>
          <t>其他非流动资产</t>
        </is>
      </c>
      <c r="C22" s="4">
        <f>'1.承租人-合并源数据'!D42/10000</f>
        <v/>
      </c>
      <c r="D22" s="4">
        <f>'1.承租人-合并源数据'!E42/10000</f>
        <v/>
      </c>
      <c r="E22" s="4">
        <f>'1.承租人-合并源数据'!F42/10000</f>
        <v/>
      </c>
      <c r="F22" s="4">
        <f>'1.承租人-合并源数据'!G42/10000</f>
        <v/>
      </c>
      <c r="G22" s="4">
        <f>'2.承租人-本部源数据'!D42/10000</f>
        <v/>
      </c>
      <c r="H22" s="4">
        <f>'2.承租人-本部源数据'!E42/10000</f>
        <v/>
      </c>
      <c r="I22" s="4">
        <f>'2.承租人-本部源数据'!F42/10000</f>
        <v/>
      </c>
      <c r="J22" s="4">
        <f>'2.承租人-本部源数据'!G42/10000</f>
        <v/>
      </c>
    </row>
    <row r="23">
      <c r="A23" s="11" t="inlineStr">
        <is>
          <t>负债</t>
        </is>
      </c>
      <c r="B23" s="12" t="inlineStr">
        <is>
          <t>总负债</t>
        </is>
      </c>
      <c r="C23" s="4">
        <f>'1.承租人-合并源数据'!D75/10000</f>
        <v/>
      </c>
      <c r="D23" s="4">
        <f>'1.承租人-合并源数据'!E75/10000</f>
        <v/>
      </c>
      <c r="E23" s="4">
        <f>'1.承租人-合并源数据'!F75/10000</f>
        <v/>
      </c>
      <c r="F23" s="4">
        <f>'1.承租人-合并源数据'!G75/10000</f>
        <v/>
      </c>
      <c r="G23" s="4">
        <f>'2.承租人-本部源数据'!D75/10000</f>
        <v/>
      </c>
      <c r="H23" s="4">
        <f>'2.承租人-本部源数据'!E75/10000</f>
        <v/>
      </c>
      <c r="I23" s="4">
        <f>'2.承租人-本部源数据'!F75/10000</f>
        <v/>
      </c>
      <c r="J23" s="4">
        <f>'2.承租人-本部源数据'!G75/10000</f>
        <v/>
      </c>
    </row>
    <row r="24">
      <c r="A24" s="5" t="n"/>
      <c r="B24" s="12" t="inlineStr">
        <is>
          <t>流动负债</t>
        </is>
      </c>
      <c r="C24" s="4">
        <f>'1.承租人-合并源数据'!D44/10000</f>
        <v/>
      </c>
      <c r="D24" s="4">
        <f>'1.承租人-合并源数据'!E44/10000</f>
        <v/>
      </c>
      <c r="E24" s="4">
        <f>'1.承租人-合并源数据'!F44/10000</f>
        <v/>
      </c>
      <c r="F24" s="4">
        <f>'1.承租人-合并源数据'!G44/10000</f>
        <v/>
      </c>
      <c r="G24" s="4">
        <f>'2.承租人-本部源数据'!D44/10000</f>
        <v/>
      </c>
      <c r="H24" s="4">
        <f>'2.承租人-本部源数据'!E44/10000</f>
        <v/>
      </c>
      <c r="I24" s="4">
        <f>'2.承租人-本部源数据'!F44/10000</f>
        <v/>
      </c>
      <c r="J24" s="4">
        <f>'2.承租人-本部源数据'!G44/10000</f>
        <v/>
      </c>
    </row>
    <row r="25">
      <c r="A25" s="5" t="n"/>
      <c r="B25" s="12" t="inlineStr">
        <is>
          <t>短期借款</t>
        </is>
      </c>
      <c r="C25" s="4">
        <f>'1.承租人-合并源数据'!D45/10000</f>
        <v/>
      </c>
      <c r="D25" s="4">
        <f>'1.承租人-合并源数据'!E45/10000</f>
        <v/>
      </c>
      <c r="E25" s="4">
        <f>'1.承租人-合并源数据'!F45/10000</f>
        <v/>
      </c>
      <c r="F25" s="4">
        <f>'1.承租人-合并源数据'!G45/10000</f>
        <v/>
      </c>
      <c r="G25" s="4">
        <f>'2.承租人-本部源数据'!D45/10000</f>
        <v/>
      </c>
      <c r="H25" s="4">
        <f>'2.承租人-本部源数据'!E45/10000</f>
        <v/>
      </c>
      <c r="I25" s="4">
        <f>'2.承租人-本部源数据'!F45/10000</f>
        <v/>
      </c>
      <c r="J25" s="4">
        <f>'2.承租人-本部源数据'!G45/10000</f>
        <v/>
      </c>
    </row>
    <row r="26">
      <c r="A26" s="5" t="n"/>
      <c r="B26" s="12" t="inlineStr">
        <is>
          <t>应付账款</t>
        </is>
      </c>
      <c r="C26" s="4">
        <f>'1.承租人-合并源数据'!D51/10000</f>
        <v/>
      </c>
      <c r="D26" s="4">
        <f>'1.承租人-合并源数据'!E51/10000</f>
        <v/>
      </c>
      <c r="E26" s="4">
        <f>'1.承租人-合并源数据'!F51/10000</f>
        <v/>
      </c>
      <c r="F26" s="4">
        <f>'1.承租人-合并源数据'!G51/10000</f>
        <v/>
      </c>
      <c r="G26" s="4">
        <f>'2.承租人-本部源数据'!D51/10000</f>
        <v/>
      </c>
      <c r="H26" s="4">
        <f>'2.承租人-本部源数据'!E51/10000</f>
        <v/>
      </c>
      <c r="I26" s="4">
        <f>'2.承租人-本部源数据'!F51/10000</f>
        <v/>
      </c>
      <c r="J26" s="4">
        <f>'2.承租人-本部源数据'!G51/10000</f>
        <v/>
      </c>
    </row>
    <row r="27">
      <c r="A27" s="5" t="n"/>
      <c r="B27" s="12" t="inlineStr">
        <is>
          <t>预收账款</t>
        </is>
      </c>
      <c r="C27" s="4">
        <f>'1.承租人-合并源数据'!D52/10000</f>
        <v/>
      </c>
      <c r="D27" s="4">
        <f>'1.承租人-合并源数据'!E52/10000</f>
        <v/>
      </c>
      <c r="E27" s="4">
        <f>'1.承租人-合并源数据'!F52/10000</f>
        <v/>
      </c>
      <c r="F27" s="4">
        <f>'1.承租人-合并源数据'!G52/10000</f>
        <v/>
      </c>
      <c r="G27" s="4">
        <f>'2.承租人-本部源数据'!D52/10000</f>
        <v/>
      </c>
      <c r="H27" s="4">
        <f>'2.承租人-本部源数据'!E52/10000</f>
        <v/>
      </c>
      <c r="I27" s="4">
        <f>'2.承租人-本部源数据'!F52/10000</f>
        <v/>
      </c>
      <c r="J27" s="4">
        <f>'2.承租人-本部源数据'!G52/10000</f>
        <v/>
      </c>
    </row>
    <row r="28">
      <c r="A28" s="5" t="n"/>
      <c r="B28" s="12" t="inlineStr">
        <is>
          <t>应付职工薪酬</t>
        </is>
      </c>
      <c r="C28" s="4">
        <f>'1.承租人-合并源数据'!D55/10000</f>
        <v/>
      </c>
      <c r="D28" s="4">
        <f>'1.承租人-合并源数据'!E55/10000</f>
        <v/>
      </c>
      <c r="E28" s="4">
        <f>'1.承租人-合并源数据'!F55/10000</f>
        <v/>
      </c>
      <c r="F28" s="4">
        <f>'1.承租人-合并源数据'!G55/10000</f>
        <v/>
      </c>
      <c r="G28" s="4">
        <f>'2.承租人-本部源数据'!D55/10000</f>
        <v/>
      </c>
      <c r="H28" s="4">
        <f>'2.承租人-本部源数据'!E55/10000</f>
        <v/>
      </c>
      <c r="I28" s="4">
        <f>'2.承租人-本部源数据'!F55/10000</f>
        <v/>
      </c>
      <c r="J28" s="4">
        <f>'2.承租人-本部源数据'!G55/10000</f>
        <v/>
      </c>
    </row>
    <row r="29">
      <c r="A29" s="5" t="n"/>
      <c r="B29" s="12" t="inlineStr">
        <is>
          <t>应交税费</t>
        </is>
      </c>
      <c r="C29" s="4">
        <f>'1.承租人-合并源数据'!D56/10000</f>
        <v/>
      </c>
      <c r="D29" s="4">
        <f>'1.承租人-合并源数据'!E56/10000</f>
        <v/>
      </c>
      <c r="E29" s="4">
        <f>'1.承租人-合并源数据'!F56/10000</f>
        <v/>
      </c>
      <c r="F29" s="4">
        <f>'1.承租人-合并源数据'!G56/10000</f>
        <v/>
      </c>
      <c r="G29" s="4">
        <f>'2.承租人-本部源数据'!D56/10000</f>
        <v/>
      </c>
      <c r="H29" s="4">
        <f>'2.承租人-本部源数据'!E56/10000</f>
        <v/>
      </c>
      <c r="I29" s="4">
        <f>'2.承租人-本部源数据'!F56/10000</f>
        <v/>
      </c>
      <c r="J29" s="4">
        <f>'2.承租人-本部源数据'!G56/10000</f>
        <v/>
      </c>
    </row>
    <row r="30">
      <c r="A30" s="5" t="n"/>
      <c r="B30" s="12" t="inlineStr">
        <is>
          <t>其他应付款</t>
        </is>
      </c>
      <c r="C30" s="4">
        <f>'1.承租人-合并源数据'!D57/10000</f>
        <v/>
      </c>
      <c r="D30" s="4">
        <f>'1.承租人-合并源数据'!E57/10000</f>
        <v/>
      </c>
      <c r="E30" s="4">
        <f>'1.承租人-合并源数据'!F57/10000</f>
        <v/>
      </c>
      <c r="F30" s="4">
        <f>'1.承租人-合并源数据'!G57/10000</f>
        <v/>
      </c>
      <c r="G30" s="4">
        <f>'2.承租人-本部源数据'!D57/10000</f>
        <v/>
      </c>
      <c r="H30" s="4">
        <f>'2.承租人-本部源数据'!E57/10000</f>
        <v/>
      </c>
      <c r="I30" s="4">
        <f>'2.承租人-本部源数据'!F57/10000</f>
        <v/>
      </c>
      <c r="J30" s="4">
        <f>'2.承租人-本部源数据'!G57/10000</f>
        <v/>
      </c>
    </row>
    <row r="31">
      <c r="A31" s="5" t="n"/>
      <c r="B31" s="12" t="inlineStr">
        <is>
          <t>一年内的到期的非流动负债</t>
        </is>
      </c>
      <c r="C31" s="4">
        <f>'1.承租人-合并源数据'!D61/10000</f>
        <v/>
      </c>
      <c r="D31" s="4">
        <f>'1.承租人-合并源数据'!E61/10000</f>
        <v/>
      </c>
      <c r="E31" s="4">
        <f>'1.承租人-合并源数据'!F61/10000</f>
        <v/>
      </c>
      <c r="F31" s="4">
        <f>'1.承租人-合并源数据'!G61/10000</f>
        <v/>
      </c>
      <c r="G31" s="4">
        <f>'2.承租人-本部源数据'!D61/10000</f>
        <v/>
      </c>
      <c r="H31" s="4">
        <f>'2.承租人-本部源数据'!E61/10000</f>
        <v/>
      </c>
      <c r="I31" s="4">
        <f>'2.承租人-本部源数据'!F61/10000</f>
        <v/>
      </c>
      <c r="J31" s="4">
        <f>'2.承租人-本部源数据'!G61/10000</f>
        <v/>
      </c>
    </row>
    <row r="32">
      <c r="A32" s="5" t="n"/>
      <c r="B32" s="12" t="inlineStr">
        <is>
          <t>长期借款</t>
        </is>
      </c>
      <c r="C32" s="4">
        <f>'1.承租人-合并源数据'!D64/10000</f>
        <v/>
      </c>
      <c r="D32" s="4">
        <f>'1.承租人-合并源数据'!E64/10000</f>
        <v/>
      </c>
      <c r="E32" s="4">
        <f>'1.承租人-合并源数据'!F64/10000</f>
        <v/>
      </c>
      <c r="F32" s="4">
        <f>'1.承租人-合并源数据'!G64/10000</f>
        <v/>
      </c>
      <c r="G32" s="4">
        <f>'2.承租人-本部源数据'!D64/10000</f>
        <v/>
      </c>
      <c r="H32" s="4">
        <f>'2.承租人-本部源数据'!E64/10000</f>
        <v/>
      </c>
      <c r="I32" s="4">
        <f>'2.承租人-本部源数据'!F64/10000</f>
        <v/>
      </c>
      <c r="J32" s="4">
        <f>'2.承租人-本部源数据'!G64/10000</f>
        <v/>
      </c>
    </row>
    <row r="33">
      <c r="A33" s="5" t="n"/>
      <c r="B33" s="12" t="inlineStr">
        <is>
          <t>长期应付款</t>
        </is>
      </c>
      <c r="C33" s="4">
        <f>'1.承租人-合并源数据'!D69/10000</f>
        <v/>
      </c>
      <c r="D33" s="4">
        <f>'1.承租人-合并源数据'!E69/10000</f>
        <v/>
      </c>
      <c r="E33" s="4">
        <f>'1.承租人-合并源数据'!F69/10000</f>
        <v/>
      </c>
      <c r="F33" s="4">
        <f>'1.承租人-合并源数据'!G69/10000</f>
        <v/>
      </c>
      <c r="G33" s="4">
        <f>'2.承租人-本部源数据'!D69/10000</f>
        <v/>
      </c>
      <c r="H33" s="4">
        <f>'2.承租人-本部源数据'!E69/10000</f>
        <v/>
      </c>
      <c r="I33" s="4">
        <f>'2.承租人-本部源数据'!F69/10000</f>
        <v/>
      </c>
      <c r="J33" s="4">
        <f>'2.承租人-本部源数据'!G69/10000</f>
        <v/>
      </c>
    </row>
    <row r="34">
      <c r="A34" s="7" t="n"/>
      <c r="B34" s="12" t="inlineStr">
        <is>
          <t>应付债券</t>
        </is>
      </c>
      <c r="C34" s="4">
        <f>'1.承租人-合并源数据'!D65/10000</f>
        <v/>
      </c>
      <c r="D34" s="4">
        <f>'1.承租人-合并源数据'!E65/10000</f>
        <v/>
      </c>
      <c r="E34" s="4">
        <f>'1.承租人-合并源数据'!F65/10000</f>
        <v/>
      </c>
      <c r="F34" s="4">
        <f>'1.承租人-合并源数据'!G65/10000</f>
        <v/>
      </c>
      <c r="G34" s="4">
        <f>'2.承租人-本部源数据'!D65/10000</f>
        <v/>
      </c>
      <c r="H34" s="4">
        <f>'2.承租人-本部源数据'!E65/10000</f>
        <v/>
      </c>
      <c r="I34" s="4">
        <f>'2.承租人-本部源数据'!F65/10000</f>
        <v/>
      </c>
      <c r="J34" s="4">
        <f>'2.承租人-本部源数据'!G65/10000</f>
        <v/>
      </c>
    </row>
    <row r="35">
      <c r="A35" s="11" t="inlineStr">
        <is>
          <t>权益</t>
        </is>
      </c>
      <c r="B35" s="12" t="inlineStr">
        <is>
          <t>净资产</t>
        </is>
      </c>
      <c r="C35" s="4">
        <f>'1.承租人-合并源数据'!D76/10000</f>
        <v/>
      </c>
      <c r="D35" s="4">
        <f>'1.承租人-合并源数据'!E76/10000</f>
        <v/>
      </c>
      <c r="E35" s="4">
        <f>'1.承租人-合并源数据'!F76/10000</f>
        <v/>
      </c>
      <c r="F35" s="4">
        <f>'1.承租人-合并源数据'!G76/10000</f>
        <v/>
      </c>
      <c r="G35" s="4">
        <f>'2.承租人-本部源数据'!D76/10000</f>
        <v/>
      </c>
      <c r="H35" s="4">
        <f>'2.承租人-本部源数据'!E76/10000</f>
        <v/>
      </c>
      <c r="I35" s="4">
        <f>'2.承租人-本部源数据'!F76/10000</f>
        <v/>
      </c>
      <c r="J35" s="4">
        <f>'2.承租人-本部源数据'!G76/10000</f>
        <v/>
      </c>
    </row>
    <row r="36">
      <c r="A36" s="5" t="n"/>
      <c r="B36" s="12" t="inlineStr">
        <is>
          <t>实收资本</t>
        </is>
      </c>
      <c r="C36" s="4">
        <f>'1.承租人-合并源数据'!D77/10000</f>
        <v/>
      </c>
      <c r="D36" s="4">
        <f>'1.承租人-合并源数据'!E77/10000</f>
        <v/>
      </c>
      <c r="E36" s="4">
        <f>'1.承租人-合并源数据'!F77/10000</f>
        <v/>
      </c>
      <c r="F36" s="4">
        <f>'1.承租人-合并源数据'!G77/10000</f>
        <v/>
      </c>
      <c r="G36" s="4">
        <f>'2.承租人-本部源数据'!D77/10000</f>
        <v/>
      </c>
      <c r="H36" s="4">
        <f>'2.承租人-本部源数据'!E77/10000</f>
        <v/>
      </c>
      <c r="I36" s="4">
        <f>'2.承租人-本部源数据'!F77/10000</f>
        <v/>
      </c>
      <c r="J36" s="4">
        <f>'2.承租人-本部源数据'!G77/10000</f>
        <v/>
      </c>
    </row>
    <row r="37">
      <c r="A37" s="5" t="n"/>
      <c r="B37" s="12" t="inlineStr">
        <is>
          <t>资本公积</t>
        </is>
      </c>
      <c r="C37" s="4">
        <f>'1.承租人-合并源数据'!D81/10000</f>
        <v/>
      </c>
      <c r="D37" s="4">
        <f>'1.承租人-合并源数据'!E81/10000</f>
        <v/>
      </c>
      <c r="E37" s="4">
        <f>'1.承租人-合并源数据'!F81/10000</f>
        <v/>
      </c>
      <c r="F37" s="4">
        <f>'1.承租人-合并源数据'!G81/10000</f>
        <v/>
      </c>
      <c r="G37" s="4">
        <f>'2.承租人-本部源数据'!D81/10000</f>
        <v/>
      </c>
      <c r="H37" s="4">
        <f>'2.承租人-本部源数据'!E81/10000</f>
        <v/>
      </c>
      <c r="I37" s="4">
        <f>'2.承租人-本部源数据'!F81/10000</f>
        <v/>
      </c>
      <c r="J37" s="4">
        <f>'2.承租人-本部源数据'!G81/10000</f>
        <v/>
      </c>
    </row>
    <row r="38">
      <c r="A38" s="5" t="n"/>
      <c r="B38" s="12" t="inlineStr">
        <is>
          <t>盈余公积</t>
        </is>
      </c>
      <c r="C38" s="4">
        <f>'1.承租人-合并源数据'!D85/10000</f>
        <v/>
      </c>
      <c r="D38" s="4">
        <f>'1.承租人-合并源数据'!E85/10000</f>
        <v/>
      </c>
      <c r="E38" s="4">
        <f>'1.承租人-合并源数据'!F85/10000</f>
        <v/>
      </c>
      <c r="F38" s="4">
        <f>'1.承租人-合并源数据'!G85/10000</f>
        <v/>
      </c>
      <c r="G38" s="4">
        <f>'2.承租人-本部源数据'!D85/10000</f>
        <v/>
      </c>
      <c r="H38" s="4">
        <f>'2.承租人-本部源数据'!E85/10000</f>
        <v/>
      </c>
      <c r="I38" s="4">
        <f>'2.承租人-本部源数据'!F85/10000</f>
        <v/>
      </c>
      <c r="J38" s="4">
        <f>'2.承租人-本部源数据'!G85/10000</f>
        <v/>
      </c>
    </row>
    <row r="39">
      <c r="A39" s="7" t="n"/>
      <c r="B39" s="12" t="inlineStr">
        <is>
          <t>未分配利润</t>
        </is>
      </c>
      <c r="C39" s="4">
        <f>'1.承租人-合并源数据'!D87/10000</f>
        <v/>
      </c>
      <c r="D39" s="4">
        <f>'1.承租人-合并源数据'!E87/10000</f>
        <v/>
      </c>
      <c r="E39" s="4">
        <f>'1.承租人-合并源数据'!F87/10000</f>
        <v/>
      </c>
      <c r="F39" s="4">
        <f>'1.承租人-合并源数据'!G87/10000</f>
        <v/>
      </c>
      <c r="G39" s="4">
        <f>'2.承租人-本部源数据'!D87/10000</f>
        <v/>
      </c>
      <c r="H39" s="4">
        <f>'2.承租人-本部源数据'!E87/10000</f>
        <v/>
      </c>
      <c r="I39" s="4">
        <f>'2.承租人-本部源数据'!F87/10000</f>
        <v/>
      </c>
      <c r="J39" s="4">
        <f>'2.承租人-本部源数据'!G87/10000</f>
        <v/>
      </c>
    </row>
    <row r="40">
      <c r="A40" s="11" t="inlineStr">
        <is>
          <t>盈利能力</t>
        </is>
      </c>
      <c r="B40" s="12" t="inlineStr">
        <is>
          <t>营业收入</t>
        </is>
      </c>
      <c r="C40" s="4">
        <f>'1.承租人-合并源数据'!D94/10000</f>
        <v/>
      </c>
      <c r="D40" s="4">
        <f>'1.承租人-合并源数据'!E94/10000</f>
        <v/>
      </c>
      <c r="E40" s="4">
        <f>'1.承租人-合并源数据'!F94/10000</f>
        <v/>
      </c>
      <c r="F40" s="4">
        <f>'1.承租人-合并源数据'!G94/10000</f>
        <v/>
      </c>
      <c r="G40" s="4">
        <f>'2.承租人-本部源数据'!D94/10000</f>
        <v/>
      </c>
      <c r="H40" s="4">
        <f>'2.承租人-本部源数据'!E94/10000</f>
        <v/>
      </c>
      <c r="I40" s="4">
        <f>'2.承租人-本部源数据'!F94/10000</f>
        <v/>
      </c>
      <c r="J40" s="4">
        <f>'2.承租人-本部源数据'!G94/10000</f>
        <v/>
      </c>
    </row>
    <row r="41">
      <c r="A41" s="5" t="n"/>
      <c r="B41" s="12" t="inlineStr">
        <is>
          <t>主营业务成本</t>
        </is>
      </c>
      <c r="C41" s="4">
        <f>'1.承租人-合并源数据'!D97/10000</f>
        <v/>
      </c>
      <c r="D41" s="4">
        <f>'1.承租人-合并源数据'!E97/10000</f>
        <v/>
      </c>
      <c r="E41" s="4">
        <f>'1.承租人-合并源数据'!F97/10000</f>
        <v/>
      </c>
      <c r="F41" s="4">
        <f>'1.承租人-合并源数据'!G97/10000</f>
        <v/>
      </c>
      <c r="G41" s="4">
        <f>'2.承租人-本部源数据'!D97/10000</f>
        <v/>
      </c>
      <c r="H41" s="4">
        <f>'2.承租人-本部源数据'!E97/10000</f>
        <v/>
      </c>
      <c r="I41" s="4">
        <f>'2.承租人-本部源数据'!F97/10000</f>
        <v/>
      </c>
      <c r="J41" s="4">
        <f>'2.承租人-本部源数据'!G97/10000</f>
        <v/>
      </c>
    </row>
    <row r="42">
      <c r="A42" s="5" t="n"/>
      <c r="B42" s="12" t="inlineStr">
        <is>
          <t>主营业务利润</t>
        </is>
      </c>
      <c r="C42" s="4">
        <f>('1.承租人-合并源数据'!D94 - '1.承租人-合并源数据'!D97)/10000</f>
        <v/>
      </c>
      <c r="D42" s="4">
        <f>('1.承租人-合并源数据'!E94 - '1.承租人-合并源数据'!E97)/10000</f>
        <v/>
      </c>
      <c r="E42" s="4">
        <f>('1.承租人-合并源数据'!F94 - '1.承租人-合并源数据'!F97)/10000</f>
        <v/>
      </c>
      <c r="F42" s="4">
        <f>('1.承租人-合并源数据'!G94 - '1.承租人-合并源数据'!G97)/10000</f>
        <v/>
      </c>
      <c r="G42" s="4">
        <f>('2.承租人-本部源数据'!D94 - '2.承租人-本部源数据'!D97)/10000</f>
        <v/>
      </c>
      <c r="H42" s="4">
        <f>('2.承租人-本部源数据'!E94 - '2.承租人-本部源数据'!E97)/10000</f>
        <v/>
      </c>
      <c r="I42" s="4">
        <f>('2.承租人-本部源数据'!F94 - '2.承租人-本部源数据'!F97)/10000</f>
        <v/>
      </c>
      <c r="J42" s="4">
        <f>('2.承租人-本部源数据'!G94 - '2.承租人-本部源数据'!G97)/10000</f>
        <v/>
      </c>
    </row>
    <row r="43">
      <c r="A43" s="5" t="n"/>
      <c r="B43" s="12" t="inlineStr">
        <is>
          <t>期间费用</t>
        </is>
      </c>
      <c r="C43" s="4">
        <f>('1.承租人-合并源数据'!D100 + '1.承租人-合并源数据'!D101 + '1.承租人-合并源数据'!D102 + '1.承租人-合并源数据'!D103)/10000</f>
        <v/>
      </c>
      <c r="D43" s="4">
        <f>('1.承租人-合并源数据'!E100 + '1.承租人-合并源数据'!E101 + '1.承租人-合并源数据'!E102 + '1.承租人-合并源数据'!E103)/10000</f>
        <v/>
      </c>
      <c r="E43" s="4">
        <f>('1.承租人-合并源数据'!F100 + '1.承租人-合并源数据'!F101 + '1.承租人-合并源数据'!F102 + '1.承租人-合并源数据'!F103)/10000</f>
        <v/>
      </c>
      <c r="F43" s="4">
        <f>('1.承租人-合并源数据'!G100 + '1.承租人-合并源数据'!G101 + '1.承租人-合并源数据'!G102 + '1.承租人-合并源数据'!G103)/10000</f>
        <v/>
      </c>
      <c r="G43" s="4">
        <f>('2.承租人-本部源数据'!D100 + '2.承租人-本部源数据'!D101 + '2.承租人-本部源数据'!D102 + '2.承租人-本部源数据'!D103)/10000</f>
        <v/>
      </c>
      <c r="H43" s="4">
        <f>('2.承租人-本部源数据'!E100 + '2.承租人-本部源数据'!E101 + '2.承租人-本部源数据'!E102 + '2.承租人-本部源数据'!E103)/10000</f>
        <v/>
      </c>
      <c r="I43" s="4">
        <f>('2.承租人-本部源数据'!F100 + '2.承租人-本部源数据'!F101 + '2.承租人-本部源数据'!F102 + '2.承租人-本部源数据'!F103)/10000</f>
        <v/>
      </c>
      <c r="J43" s="4">
        <f>('2.承租人-本部源数据'!G100 + '2.承租人-本部源数据'!G101 + '2.承租人-本部源数据'!G102 + '2.承租人-本部源数据'!G103)/10000</f>
        <v/>
      </c>
    </row>
    <row r="44">
      <c r="A44" s="5" t="n"/>
      <c r="B44" s="12" t="inlineStr">
        <is>
          <t>股权变动收益</t>
        </is>
      </c>
      <c r="C44" s="4">
        <f>'1.承租人-合并源数据'!D107/10000</f>
        <v/>
      </c>
      <c r="D44" s="4">
        <f>'1.承租人-合并源数据'!E107/10000</f>
        <v/>
      </c>
      <c r="E44" s="4">
        <f>'1.承租人-合并源数据'!F107/10000</f>
        <v/>
      </c>
      <c r="F44" s="4">
        <f>'1.承租人-合并源数据'!G107/10000</f>
        <v/>
      </c>
      <c r="G44" s="4">
        <f>'2.承租人-本部源数据'!D107/10000</f>
        <v/>
      </c>
      <c r="H44" s="4">
        <f>'2.承租人-本部源数据'!E107/10000</f>
        <v/>
      </c>
      <c r="I44" s="4">
        <f>'2.承租人-本部源数据'!F107/10000</f>
        <v/>
      </c>
      <c r="J44" s="4">
        <f>'2.承租人-本部源数据'!G107/10000</f>
        <v/>
      </c>
    </row>
    <row r="45">
      <c r="A45" s="5" t="n"/>
      <c r="B45" s="12" t="inlineStr">
        <is>
          <t>其他收益（政府补助）</t>
        </is>
      </c>
      <c r="C45" s="4">
        <f>'1.承租人-合并源数据'!D106/10000</f>
        <v/>
      </c>
      <c r="D45" s="4">
        <f>'1.承租人-合并源数据'!E106/10000</f>
        <v/>
      </c>
      <c r="E45" s="4">
        <f>'1.承租人-合并源数据'!F106/10000</f>
        <v/>
      </c>
      <c r="F45" s="4">
        <f>'1.承租人-合并源数据'!G106/10000</f>
        <v/>
      </c>
      <c r="G45" s="4">
        <f>'2.承租人-本部源数据'!D106/10000</f>
        <v/>
      </c>
      <c r="H45" s="4">
        <f>'2.承租人-本部源数据'!E106/10000</f>
        <v/>
      </c>
      <c r="I45" s="4">
        <f>'2.承租人-本部源数据'!F106/10000</f>
        <v/>
      </c>
      <c r="J45" s="4">
        <f>'2.承租人-本部源数据'!G106/10000</f>
        <v/>
      </c>
    </row>
    <row r="46">
      <c r="A46" s="5" t="n"/>
      <c r="B46" s="12" t="inlineStr">
        <is>
          <t>利润总额</t>
        </is>
      </c>
      <c r="C46" s="4">
        <f>'1.承租人-合并源数据'!D118/10000</f>
        <v/>
      </c>
      <c r="D46" s="4">
        <f>'1.承租人-合并源数据'!E118/10000</f>
        <v/>
      </c>
      <c r="E46" s="4">
        <f>'1.承租人-合并源数据'!F118/10000</f>
        <v/>
      </c>
      <c r="F46" s="4">
        <f>'1.承租人-合并源数据'!G118/10000</f>
        <v/>
      </c>
      <c r="G46" s="4">
        <f>'2.承租人-本部源数据'!D118/10000</f>
        <v/>
      </c>
      <c r="H46" s="4">
        <f>'2.承租人-本部源数据'!E118/10000</f>
        <v/>
      </c>
      <c r="I46" s="4">
        <f>'2.承租人-本部源数据'!F118/10000</f>
        <v/>
      </c>
      <c r="J46" s="4">
        <f>'2.承租人-本部源数据'!G118/10000</f>
        <v/>
      </c>
    </row>
    <row r="47">
      <c r="A47" s="5" t="n"/>
      <c r="B47" s="12" t="inlineStr">
        <is>
          <t>净利润</t>
        </is>
      </c>
      <c r="C47" s="4">
        <f>'1.承租人-合并源数据'!D120/10000</f>
        <v/>
      </c>
      <c r="D47" s="4">
        <f>'1.承租人-合并源数据'!E120/10000</f>
        <v/>
      </c>
      <c r="E47" s="4">
        <f>'1.承租人-合并源数据'!F120/10000</f>
        <v/>
      </c>
      <c r="F47" s="4">
        <f>'1.承租人-合并源数据'!G120/10000</f>
        <v/>
      </c>
      <c r="G47" s="4">
        <f>'2.承租人-本部源数据'!D120/10000</f>
        <v/>
      </c>
      <c r="H47" s="4">
        <f>'2.承租人-本部源数据'!E120/10000</f>
        <v/>
      </c>
      <c r="I47" s="4">
        <f>'2.承租人-本部源数据'!F120/10000</f>
        <v/>
      </c>
      <c r="J47" s="4">
        <f>'2.承租人-本部源数据'!G120/10000</f>
        <v/>
      </c>
    </row>
    <row r="48">
      <c r="A48" s="5" t="n"/>
      <c r="B48" s="12" t="inlineStr">
        <is>
          <t>主营业务利润率</t>
        </is>
      </c>
      <c r="C48" s="13">
        <f>IF('1.承租人-合并源数据'!D94=0, 0, ('1.承租人-合并源数据'!D94 - '1.承租人-合并源数据'!D97) / '1.承租人-合并源数据'!D94)</f>
        <v/>
      </c>
      <c r="D48" s="13">
        <f>IF('1.承租人-合并源数据'!E94=0, 0, ('1.承租人-合并源数据'!E94 - '1.承租人-合并源数据'!E97) / '1.承租人-合并源数据'!E94)</f>
        <v/>
      </c>
      <c r="E48" s="13">
        <f>IF('1.承租人-合并源数据'!F94=0, 0, ('1.承租人-合并源数据'!F94 - '1.承租人-合并源数据'!F97) / '1.承租人-合并源数据'!F94)</f>
        <v/>
      </c>
      <c r="F48" s="13">
        <f>IF('1.承租人-合并源数据'!G94=0, 0, ('1.承租人-合并源数据'!G94 - '1.承租人-合并源数据'!G97) / '1.承租人-合并源数据'!G94)</f>
        <v/>
      </c>
      <c r="G48" s="13">
        <f>IF('2.承租人-本部源数据'!D94=0, 0, ('2.承租人-本部源数据'!D94 - '2.承租人-本部源数据'!D97) / '2.承租人-本部源数据'!D94)</f>
        <v/>
      </c>
      <c r="H48" s="13">
        <f>IF('2.承租人-本部源数据'!E94=0, 0, ('2.承租人-本部源数据'!E94 - '2.承租人-本部源数据'!E97) / '2.承租人-本部源数据'!E94)</f>
        <v/>
      </c>
      <c r="I48" s="13">
        <f>IF('2.承租人-本部源数据'!F94=0, 0, ('2.承租人-本部源数据'!F94 - '2.承租人-本部源数据'!F97) / '2.承租人-本部源数据'!F94)</f>
        <v/>
      </c>
      <c r="J48" s="13">
        <f>IF('2.承租人-本部源数据'!G94=0, 0, ('2.承租人-本部源数据'!G94 - '2.承租人-本部源数据'!G97) / '2.承租人-本部源数据'!G94)</f>
        <v/>
      </c>
    </row>
    <row r="49">
      <c r="A49" s="5" t="n"/>
      <c r="B49" s="12" t="inlineStr">
        <is>
          <t>期间费用率</t>
        </is>
      </c>
      <c r="C49" s="13">
        <f>IF('1.承租人-合并源数据'!D94=0, 0, ('1.承租人-合并源数据'!D100 + '1.承租人-合并源数据'!D101 + '1.承租人-合并源数据'!D102 + '1.承租人-合并源数据'!D103) / '1.承租人-合并源数据'!D94)</f>
        <v/>
      </c>
      <c r="D49" s="13">
        <f>IF('1.承租人-合并源数据'!E94=0, 0, ('1.承租人-合并源数据'!E100 + '1.承租人-合并源数据'!E101 + '1.承租人-合并源数据'!E102 + '1.承租人-合并源数据'!E103) / '1.承租人-合并源数据'!E94)</f>
        <v/>
      </c>
      <c r="E49" s="13">
        <f>IF('1.承租人-合并源数据'!F94=0, 0, ('1.承租人-合并源数据'!F100 + '1.承租人-合并源数据'!F101 + '1.承租人-合并源数据'!F102 + '1.承租人-合并源数据'!F103) / '1.承租人-合并源数据'!F94)</f>
        <v/>
      </c>
      <c r="F49" s="13">
        <f>IF('1.承租人-合并源数据'!G94=0, 0, ('1.承租人-合并源数据'!G100 + '1.承租人-合并源数据'!G101 + '1.承租人-合并源数据'!G102 + '1.承租人-合并源数据'!G103) / '1.承租人-合并源数据'!G94)</f>
        <v/>
      </c>
      <c r="G49" s="13">
        <f>IF('2.承租人-本部源数据'!D94=0, 0, ('2.承租人-本部源数据'!D100 + '2.承租人-本部源数据'!D101 + '2.承租人-本部源数据'!D102 + '2.承租人-本部源数据'!D103) / '2.承租人-本部源数据'!D94)</f>
        <v/>
      </c>
      <c r="H49" s="13">
        <f>IF('2.承租人-本部源数据'!E94=0, 0, ('2.承租人-本部源数据'!E100 + '2.承租人-本部源数据'!E101 + '2.承租人-本部源数据'!E102 + '2.承租人-本部源数据'!E103) / '2.承租人-本部源数据'!E94)</f>
        <v/>
      </c>
      <c r="I49" s="13">
        <f>IF('2.承租人-本部源数据'!F94=0, 0, ('2.承租人-本部源数据'!F100 + '2.承租人-本部源数据'!F101 + '2.承租人-本部源数据'!F102 + '2.承租人-本部源数据'!F103) / '2.承租人-本部源数据'!F94)</f>
        <v/>
      </c>
      <c r="J49" s="13">
        <f>IF('2.承租人-本部源数据'!G94=0, 0, ('2.承租人-本部源数据'!G100 + '2.承租人-本部源数据'!G101 + '2.承租人-本部源数据'!G102 + '2.承租人-本部源数据'!G103) / '2.承租人-本部源数据'!G94)</f>
        <v/>
      </c>
    </row>
    <row r="50">
      <c r="A50" s="7" t="n"/>
      <c r="B50" s="12" t="inlineStr">
        <is>
          <t>净利率</t>
        </is>
      </c>
      <c r="C50" s="13">
        <f>IF('1.承租人-合并源数据'!D94=0, 0, '1.承租人-合并源数据'!D120 / '1.承租人-合并源数据'!D94)</f>
        <v/>
      </c>
      <c r="D50" s="13">
        <f>IF('1.承租人-合并源数据'!E94=0, 0, '1.承租人-合并源数据'!E120 / '1.承租人-合并源数据'!E94)</f>
        <v/>
      </c>
      <c r="E50" s="13">
        <f>IF('1.承租人-合并源数据'!F94=0, 0, '1.承租人-合并源数据'!F120 / '1.承租人-合并源数据'!F94)</f>
        <v/>
      </c>
      <c r="F50" s="13">
        <f>IF('1.承租人-合并源数据'!G94=0, 0, '1.承租人-合并源数据'!G120 / '1.承租人-合并源数据'!G94)</f>
        <v/>
      </c>
      <c r="G50" s="13">
        <f>IF('2.承租人-本部源数据'!D94=0, 0, '2.承租人-本部源数据'!D120 / '2.承租人-本部源数据'!D94)</f>
        <v/>
      </c>
      <c r="H50" s="13">
        <f>IF('2.承租人-本部源数据'!E94=0, 0, '2.承租人-本部源数据'!E120 / '2.承租人-本部源数据'!E94)</f>
        <v/>
      </c>
      <c r="I50" s="13">
        <f>IF('2.承租人-本部源数据'!F94=0, 0, '2.承租人-本部源数据'!F120 / '2.承租人-本部源数据'!F94)</f>
        <v/>
      </c>
      <c r="J50" s="13">
        <f>IF('2.承租人-本部源数据'!G94=0, 0, '2.承租人-本部源数据'!G120 / '2.承租人-本部源数据'!G94)</f>
        <v/>
      </c>
    </row>
    <row r="51">
      <c r="A51" s="11" t="inlineStr">
        <is>
          <t>营运能力</t>
        </is>
      </c>
      <c r="B51" s="12" t="inlineStr">
        <is>
          <t>应收账款周转天数</t>
        </is>
      </c>
      <c r="C51" s="4">
        <f>IF('1.承租人-合并源数据'!D94=0, 0, 360 * '1.承租人-合并源数据'!D10 / '1.承租人-合并源数据'!D94)</f>
        <v/>
      </c>
      <c r="D51" s="4">
        <f>IF('1.承租人-合并源数据'!E94=0, 0, 360 * '1.承租人-合并源数据'!E10 / '1.承租人-合并源数据'!E94)</f>
        <v/>
      </c>
      <c r="E51" s="4">
        <f>IF('1.承租人-合并源数据'!F94=0, 0, 360 * '1.承租人-合并源数据'!F10 / '1.承租人-合并源数据'!F94)</f>
        <v/>
      </c>
      <c r="F51" s="4">
        <f>IF('1.承租人-合并源数据'!G94=0, 0, 360 * '1.承租人-合并源数据'!G10 / '1.承租人-合并源数据'!G94)</f>
        <v/>
      </c>
      <c r="G51" s="4">
        <f>IF('2.承租人-本部源数据'!D94=0, 0, 360 * '2.承租人-本部源数据'!D10 / '2.承租人-本部源数据'!D94)</f>
        <v/>
      </c>
      <c r="H51" s="4">
        <f>IF('2.承租人-本部源数据'!E94=0, 0, 360 * '2.承租人-本部源数据'!E10 / '2.承租人-本部源数据'!E94)</f>
        <v/>
      </c>
      <c r="I51" s="4">
        <f>IF('2.承租人-本部源数据'!F94=0, 0, 360 * '2.承租人-本部源数据'!F10 / '2.承租人-本部源数据'!F94)</f>
        <v/>
      </c>
      <c r="J51" s="4">
        <f>IF('2.承租人-本部源数据'!G94=0, 0, 360 * '2.承租人-本部源数据'!G10 / '2.承租人-本部源数据'!G94)</f>
        <v/>
      </c>
    </row>
    <row r="52">
      <c r="A52" s="7" t="n"/>
      <c r="B52" s="12" t="inlineStr">
        <is>
          <t>存货周转天数</t>
        </is>
      </c>
      <c r="C52" s="4">
        <f>IF('1.承租人-合并源数据'!D97=0, 0, 360 * '1.承租人-合并源数据'!D18 / '1.承租人-合并源数据'!D97)</f>
        <v/>
      </c>
      <c r="D52" s="4">
        <f>IF('1.承租人-合并源数据'!E97=0, 0, 360 * '1.承租人-合并源数据'!E18 / '1.承租人-合并源数据'!E97)</f>
        <v/>
      </c>
      <c r="E52" s="4">
        <f>IF('1.承租人-合并源数据'!F97=0, 0, 360 * '1.承租人-合并源数据'!F18 / '1.承租人-合并源数据'!F97)</f>
        <v/>
      </c>
      <c r="F52" s="4">
        <f>IF('1.承租人-合并源数据'!G97=0, 0, 360 * '1.承租人-合并源数据'!G18 / '1.承租人-合并源数据'!G97)</f>
        <v/>
      </c>
      <c r="G52" s="4">
        <f>IF('2.承租人-本部源数据'!D97=0, 0, 360 * '2.承租人-本部源数据'!D18 / '2.承租人-本部源数据'!D97)</f>
        <v/>
      </c>
      <c r="H52" s="4">
        <f>IF('2.承租人-本部源数据'!E97=0, 0, 360 * '2.承租人-本部源数据'!E18 / '2.承租人-本部源数据'!E97)</f>
        <v/>
      </c>
      <c r="I52" s="4">
        <f>IF('2.承租人-本部源数据'!F97=0, 0, 360 * '2.承租人-本部源数据'!F18 / '2.承租人-本部源数据'!F97)</f>
        <v/>
      </c>
      <c r="J52" s="4">
        <f>IF('2.承租人-本部源数据'!G97=0, 0, 360 * '2.承租人-本部源数据'!G18 / '2.承租人-本部源数据'!G97)</f>
        <v/>
      </c>
    </row>
    <row r="53">
      <c r="A53" s="11" t="inlineStr">
        <is>
          <t>偿债能力</t>
        </is>
      </c>
      <c r="B53" s="12" t="inlineStr">
        <is>
          <t>资产负债率</t>
        </is>
      </c>
      <c r="C53" s="13">
        <f>IF('1.承租人-合并源数据'!D43=0, 0, '1.承租人-合并源数据'!D75 / '1.承租人-合并源数据'!D43)</f>
        <v/>
      </c>
      <c r="D53" s="13">
        <f>IF('1.承租人-合并源数据'!E43=0, 0, '1.承租人-合并源数据'!E75 / '1.承租人-合并源数据'!E43)</f>
        <v/>
      </c>
      <c r="E53" s="13">
        <f>IF('1.承租人-合并源数据'!F43=0, 0, '1.承租人-合并源数据'!F75 / '1.承租人-合并源数据'!F43)</f>
        <v/>
      </c>
      <c r="F53" s="13">
        <f>IF('1.承租人-合并源数据'!G43=0, 0, '1.承租人-合并源数据'!G75 / '1.承租人-合并源数据'!G43)</f>
        <v/>
      </c>
      <c r="G53" s="13">
        <f>IF('2.承租人-本部源数据'!D43=0, 0, '2.承租人-本部源数据'!D75 / '2.承租人-本部源数据'!D43)</f>
        <v/>
      </c>
      <c r="H53" s="13">
        <f>IF('2.承租人-本部源数据'!E43=0, 0, '2.承租人-本部源数据'!E75 / '2.承租人-本部源数据'!E43)</f>
        <v/>
      </c>
      <c r="I53" s="13">
        <f>IF('2.承租人-本部源数据'!F43=0, 0, '2.承租人-本部源数据'!F75 / '2.承租人-本部源数据'!F43)</f>
        <v/>
      </c>
      <c r="J53" s="13">
        <f>IF('2.承租人-本部源数据'!G43=0, 0, '2.承租人-本部源数据'!G75 / '2.承租人-本部源数据'!G43)</f>
        <v/>
      </c>
    </row>
    <row r="54">
      <c r="A54" s="5" t="n"/>
      <c r="B54" s="12" t="inlineStr">
        <is>
          <t>现金短期有息债务比率</t>
        </is>
      </c>
      <c r="C54" s="13">
        <f>IF(('1.承租人-合并源数据'!D45 + '1.承租人-合并源数据'!D50 + '1.承租人-合并源数据'!D61)=0, 0, '1.承租人-合并源数据'!D3 / ('1.承租人-合并源数据'!D45 + '1.承租人-合并源数据'!D50 + '1.承租人-合并源数据'!D61))</f>
        <v/>
      </c>
      <c r="D54" s="13">
        <f>IF(('1.承租人-合并源数据'!E45 + '1.承租人-合并源数据'!E50 + '1.承租人-合并源数据'!E61)=0, 0, '1.承租人-合并源数据'!E3 / ('1.承租人-合并源数据'!E45 + '1.承租人-合并源数据'!E50 + '1.承租人-合并源数据'!E61))</f>
        <v/>
      </c>
      <c r="E54" s="13">
        <f>IF(('1.承租人-合并源数据'!F45 + '1.承租人-合并源数据'!F50 + '1.承租人-合并源数据'!F61)=0, 0, '1.承租人-合并源数据'!F3 / ('1.承租人-合并源数据'!F45 + '1.承租人-合并源数据'!F50 + '1.承租人-合并源数据'!F61))</f>
        <v/>
      </c>
      <c r="F54" s="13">
        <f>IF(('1.承租人-合并源数据'!G45 + '1.承租人-合并源数据'!G50 + '1.承租人-合并源数据'!G61)=0, 0, '1.承租人-合并源数据'!G3 / ('1.承租人-合并源数据'!G45 + '1.承租人-合并源数据'!G50 + '1.承租人-合并源数据'!G61))</f>
        <v/>
      </c>
      <c r="G54" s="13">
        <f>IF(('2.承租人-本部源数据'!D45 + '2.承租人-本部源数据'!D50 + '2.承租人-本部源数据'!D61)=0, 0, '2.承租人-本部源数据'!D3 / ('2.承租人-本部源数据'!D45 + '2.承租人-本部源数据'!D50 + '2.承租人-本部源数据'!D61))</f>
        <v/>
      </c>
      <c r="H54" s="13">
        <f>IF(('2.承租人-本部源数据'!E45 + '2.承租人-本部源数据'!E50 + '2.承租人-本部源数据'!E61)=0, 0, '2.承租人-本部源数据'!E3 / ('2.承租人-本部源数据'!E45 + '2.承租人-本部源数据'!E50 + '2.承租人-本部源数据'!E61))</f>
        <v/>
      </c>
      <c r="I54" s="13">
        <f>IF(('2.承租人-本部源数据'!F45 + '2.承租人-本部源数据'!F50 + '2.承租人-本部源数据'!F61)=0, 0, '2.承租人-本部源数据'!F3 / ('2.承租人-本部源数据'!F45 + '2.承租人-本部源数据'!F50 + '2.承租人-本部源数据'!F61))</f>
        <v/>
      </c>
      <c r="J54" s="13">
        <f>IF(('2.承租人-本部源数据'!G45 + '2.承租人-本部源数据'!G50 + '2.承租人-本部源数据'!G61)=0, 0, '2.承租人-本部源数据'!G3 / ('2.承租人-本部源数据'!G45 + '2.承租人-本部源数据'!G50 + '2.承租人-本部源数据'!G61))</f>
        <v/>
      </c>
    </row>
    <row r="55">
      <c r="A55" s="5" t="n"/>
      <c r="B55" s="12" t="inlineStr">
        <is>
          <t>付现利息</t>
        </is>
      </c>
      <c r="C55" s="4">
        <f>'1.承租人-合并源数据'!D165/10000</f>
        <v/>
      </c>
      <c r="D55" s="4">
        <f>'1.承租人-合并源数据'!E165/10000</f>
        <v/>
      </c>
      <c r="E55" s="4">
        <f>'1.承租人-合并源数据'!F165/10000</f>
        <v/>
      </c>
      <c r="F55" s="4">
        <f>'1.承租人-合并源数据'!G165/10000</f>
        <v/>
      </c>
      <c r="G55" s="4">
        <f>'2.承租人-本部源数据'!D165/10000</f>
        <v/>
      </c>
      <c r="H55" s="4">
        <f>'2.承租人-本部源数据'!E165/10000</f>
        <v/>
      </c>
      <c r="I55" s="4">
        <f>'2.承租人-本部源数据'!F165/10000</f>
        <v/>
      </c>
      <c r="J55" s="4">
        <f>'2.承租人-本部源数据'!G165/10000</f>
        <v/>
      </c>
    </row>
    <row r="56">
      <c r="A56" s="5" t="n"/>
      <c r="B56" s="2" t="inlineStr">
        <is>
          <t>其中：计入利润表的财务费用</t>
        </is>
      </c>
      <c r="C56" s="4">
        <f>'1.承租人-合并源数据'!D104/10000</f>
        <v/>
      </c>
      <c r="D56" s="4">
        <f>'1.承租人-合并源数据'!E104/10000</f>
        <v/>
      </c>
      <c r="E56" s="4">
        <f>'1.承租人-合并源数据'!F104/10000</f>
        <v/>
      </c>
      <c r="F56" s="4">
        <f>'1.承租人-合并源数据'!G104/10000</f>
        <v/>
      </c>
      <c r="G56" s="4">
        <f>'2.承租人-本部源数据'!D104/10000</f>
        <v/>
      </c>
      <c r="H56" s="4">
        <f>'2.承租人-本部源数据'!E104/10000</f>
        <v/>
      </c>
      <c r="I56" s="4">
        <f>'2.承租人-本部源数据'!F104/10000</f>
        <v/>
      </c>
      <c r="J56" s="4">
        <f>'2.承租人-本部源数据'!G104/10000</f>
        <v/>
      </c>
    </row>
    <row r="57">
      <c r="A57" s="5" t="n"/>
      <c r="B57" s="12" t="inlineStr">
        <is>
          <t>EBIT利息倍数</t>
        </is>
      </c>
      <c r="C57" s="4">
        <f>IF('1.承租人-合并源数据'!D104=0, "-", ('1.承租人-合并源数据'!D118 + '1.承租人-合并源数据'!D104) / '1.承租人-合并源数据'!D104)</f>
        <v/>
      </c>
      <c r="D57" s="4">
        <f>IF('1.承租人-合并源数据'!E104=0, "-", ('1.承租人-合并源数据'!E118 + '1.承租人-合并源数据'!E104) / '1.承租人-合并源数据'!E104)</f>
        <v/>
      </c>
      <c r="E57" s="4">
        <f>IF('1.承租人-合并源数据'!F104=0, "-", ('1.承租人-合并源数据'!F118 + '1.承租人-合并源数据'!F104) / '1.承租人-合并源数据'!F104)</f>
        <v/>
      </c>
      <c r="F57" s="4">
        <f>IF('1.承租人-合并源数据'!G104=0, "-", ('1.承租人-合并源数据'!G118 + '1.承租人-合并源数据'!G104) / '1.承租人-合并源数据'!G104)</f>
        <v/>
      </c>
      <c r="G57" s="4">
        <f>IF('2.承租人-本部源数据'!D104=0, "-", ('2.承租人-本部源数据'!D118 + '2.承租人-本部源数据'!D104) / '2.承租人-本部源数据'!D104)</f>
        <v/>
      </c>
      <c r="H57" s="4">
        <f>IF('2.承租人-本部源数据'!E104=0, "-", ('2.承租人-本部源数据'!E118 + '2.承租人-本部源数据'!E104) / '2.承租人-本部源数据'!E104)</f>
        <v/>
      </c>
      <c r="I57" s="4">
        <f>IF('2.承租人-本部源数据'!F104=0, "-", ('2.承租人-本部源数据'!F118 + '2.承租人-本部源数据'!F104) / '2.承租人-本部源数据'!F104)</f>
        <v/>
      </c>
      <c r="J57" s="4">
        <f>IF('2.承租人-本部源数据'!G104=0, "-", ('2.承租人-本部源数据'!G118 + '2.承租人-本部源数据'!G104) / '2.承租人-本部源数据'!G104)</f>
        <v/>
      </c>
    </row>
    <row r="58">
      <c r="A58" s="5" t="n"/>
      <c r="B58" s="12" t="inlineStr">
        <is>
          <t>EBITDA利息倍数</t>
        </is>
      </c>
      <c r="C58" s="4">
        <f>IF('1.承租人-合并源数据'!D104=0, "-", ('1.承租人-合并源数据'!D118 + '1.承租人-合并源数据'!D104 + C15 + C18 + C20) / '1.承租人-合并源数据'!D104)</f>
        <v/>
      </c>
      <c r="D58" s="4">
        <f>IF('1.承租人-合并源数据'!E104=0, "-", ('1.承租人-合并源数据'!E118 + '1.承租人-合并源数据'!E104 + D15 + D18 + D20) / '1.承租人-合并源数据'!E104)</f>
        <v/>
      </c>
      <c r="E58" s="4">
        <f>IF('1.承租人-合并源数据'!F104=0, "-", ('1.承租人-合并源数据'!F118 + '1.承租人-合并源数据'!F104 + E15 + E18 + E20) / '1.承租人-合并源数据'!F104)</f>
        <v/>
      </c>
      <c r="F58" s="4">
        <f>IF('1.承租人-合并源数据'!G104=0, "-", ('1.承租人-合并源数据'!G118 + '1.承租人-合并源数据'!G104 + F15 + F18 + F20) / '1.承租人-合并源数据'!G104)</f>
        <v/>
      </c>
      <c r="G58" s="4">
        <f>IF('2.承租人-本部源数据'!D104=0, "-", ('2.承租人-本部源数据'!D118 + '2.承租人-本部源数据'!D104 + G15 + G18 + G20) / '2.承租人-本部源数据'!D104)</f>
        <v/>
      </c>
      <c r="H58" s="4">
        <f>IF('2.承租人-本部源数据'!E104=0, "-", ('2.承租人-本部源数据'!E118 + '2.承租人-本部源数据'!E104 + H15 + H18 + H20) / '2.承租人-本部源数据'!E104)</f>
        <v/>
      </c>
      <c r="I58" s="4">
        <f>IF('2.承租人-本部源数据'!F104=0, "-", ('2.承租人-本部源数据'!F118 + '2.承租人-本部源数据'!F104 + I15 + I18 + I20) / '2.承租人-本部源数据'!F104)</f>
        <v/>
      </c>
      <c r="J58" s="4">
        <f>IF('2.承租人-本部源数据'!G104=0, "-", ('2.承租人-本部源数据'!G118 + '2.承租人-本部源数据'!G104 + J15 + J18 + J20) / '2.承租人-本部源数据'!G104)</f>
        <v/>
      </c>
    </row>
    <row r="59">
      <c r="A59" s="7" t="n"/>
      <c r="B59" s="12" t="inlineStr">
        <is>
          <t>经营净现金流利息保障倍数</t>
        </is>
      </c>
      <c r="C59" s="4">
        <f>IF('1.承租人-合并源数据'!D104=0, "-", '1.承租人-合并源数据'!D142 / '1.承租人-合并源数据'!D104)</f>
        <v/>
      </c>
      <c r="D59" s="4">
        <f>IF('1.承租人-合并源数据'!E104=0, "-", '1.承租人-合并源数据'!E142 / '1.承租人-合并源数据'!E104)</f>
        <v/>
      </c>
      <c r="E59" s="4">
        <f>IF('1.承租人-合并源数据'!F104=0, "-", '1.承租人-合并源数据'!F142 / '1.承租人-合并源数据'!F104)</f>
        <v/>
      </c>
      <c r="F59" s="4">
        <f>IF('1.承租人-合并源数据'!G104=0, "-", '1.承租人-合并源数据'!G142 / '1.承租人-合并源数据'!G104)</f>
        <v/>
      </c>
      <c r="G59" s="4">
        <f>IF('2.承租人-本部源数据'!D104=0, "-", '2.承租人-本部源数据'!D142 / '2.承租人-本部源数据'!D104)</f>
        <v/>
      </c>
      <c r="H59" s="4">
        <f>IF('2.承租人-本部源数据'!E104=0, "-", '2.承租人-本部源数据'!E142 / '2.承租人-本部源数据'!E104)</f>
        <v/>
      </c>
      <c r="I59" s="4">
        <f>IF('2.承租人-本部源数据'!F104=0, "-", '2.承租人-本部源数据'!F142 / '2.承租人-本部源数据'!F104)</f>
        <v/>
      </c>
      <c r="J59" s="4">
        <f>IF('2.承租人-本部源数据'!G104=0, "-", '2.承租人-本部源数据'!G142 / '2.承租人-本部源数据'!G104)</f>
        <v/>
      </c>
    </row>
    <row r="60">
      <c r="A60" s="11" t="inlineStr">
        <is>
          <t>现金流</t>
        </is>
      </c>
      <c r="B60" s="12" t="inlineStr">
        <is>
          <t>经营活动净现金流量</t>
        </is>
      </c>
      <c r="C60" s="4">
        <f>'1.承租人-合并源数据'!D142/10000</f>
        <v/>
      </c>
      <c r="D60" s="4">
        <f>'1.承租人-合并源数据'!E142/10000</f>
        <v/>
      </c>
      <c r="E60" s="4">
        <f>'1.承租人-合并源数据'!F142/10000</f>
        <v/>
      </c>
      <c r="F60" s="4">
        <f>'1.承租人-合并源数据'!G142/10000</f>
        <v/>
      </c>
      <c r="G60" s="4">
        <f>'2.承租人-本部源数据'!D142/10000</f>
        <v/>
      </c>
      <c r="H60" s="4">
        <f>'2.承租人-本部源数据'!E142/10000</f>
        <v/>
      </c>
      <c r="I60" s="4">
        <f>'2.承租人-本部源数据'!F142/10000</f>
        <v/>
      </c>
      <c r="J60" s="4">
        <f>'2.承租人-本部源数据'!G142/10000</f>
        <v/>
      </c>
    </row>
    <row r="61">
      <c r="A61" s="5" t="n"/>
      <c r="B61" s="2" t="inlineStr">
        <is>
          <t>其中，销售商品提供劳务收到的现金</t>
        </is>
      </c>
      <c r="C61" s="4">
        <f>'1.承租人-合并源数据'!D127/10000</f>
        <v/>
      </c>
      <c r="D61" s="4">
        <f>'1.承租人-合并源数据'!E127/10000</f>
        <v/>
      </c>
      <c r="E61" s="4">
        <f>'1.承租人-合并源数据'!F127/10000</f>
        <v/>
      </c>
      <c r="F61" s="4">
        <f>'1.承租人-合并源数据'!G127/10000</f>
        <v/>
      </c>
      <c r="G61" s="4">
        <f>'2.承租人-本部源数据'!D127/10000</f>
        <v/>
      </c>
      <c r="H61" s="4">
        <f>'2.承租人-本部源数据'!E127/10000</f>
        <v/>
      </c>
      <c r="I61" s="4">
        <f>'2.承租人-本部源数据'!F127/10000</f>
        <v/>
      </c>
      <c r="J61" s="4">
        <f>'2.承租人-本部源数据'!G127/10000</f>
        <v/>
      </c>
    </row>
    <row r="62">
      <c r="A62" s="5" t="n"/>
      <c r="B62" s="12" t="inlineStr">
        <is>
          <t>收现比</t>
        </is>
      </c>
      <c r="C62" s="13">
        <f>IF('1.承租人-合并源数据'!D94=0, 0, '1.承租人-合并源数据'!D127 / '1.承租人-合并源数据'!D94)</f>
        <v/>
      </c>
      <c r="D62" s="13">
        <f>IF('1.承租人-合并源数据'!E94=0, 0, '1.承租人-合并源数据'!E127 / '1.承租人-合并源数据'!E94)</f>
        <v/>
      </c>
      <c r="E62" s="13">
        <f>IF('1.承租人-合并源数据'!F94=0, 0, '1.承租人-合并源数据'!F127 / '1.承租人-合并源数据'!F94)</f>
        <v/>
      </c>
      <c r="F62" s="13">
        <f>IF('1.承租人-合并源数据'!G94=0, 0, '1.承租人-合并源数据'!G127 / '1.承租人-合并源数据'!G94)</f>
        <v/>
      </c>
      <c r="G62" s="13">
        <f>IF('2.承租人-本部源数据'!D94=0, 0, '2.承租人-本部源数据'!D127 / '2.承租人-本部源数据'!D94)</f>
        <v/>
      </c>
      <c r="H62" s="13">
        <f>IF('2.承租人-本部源数据'!E94=0, 0, '2.承租人-本部源数据'!E127 / '2.承租人-本部源数据'!E94)</f>
        <v/>
      </c>
      <c r="I62" s="13">
        <f>IF('2.承租人-本部源数据'!F94=0, 0, '2.承租人-本部源数据'!F127 / '2.承租人-本部源数据'!F94)</f>
        <v/>
      </c>
      <c r="J62" s="13">
        <f>IF('2.承租人-本部源数据'!G94=0, 0, '2.承租人-本部源数据'!G127 / '2.承租人-本部源数据'!G94)</f>
        <v/>
      </c>
    </row>
    <row r="63">
      <c r="A63" s="5" t="n"/>
      <c r="B63" s="12" t="inlineStr">
        <is>
          <t>投资活动净现金流</t>
        </is>
      </c>
      <c r="C63" s="4">
        <f>'1.承租人-合并源数据'!D156/10000</f>
        <v/>
      </c>
      <c r="D63" s="4">
        <f>'1.承租人-合并源数据'!E156/10000</f>
        <v/>
      </c>
      <c r="E63" s="4">
        <f>'1.承租人-合并源数据'!F156/10000</f>
        <v/>
      </c>
      <c r="F63" s="4">
        <f>'1.承租人-合并源数据'!G156/10000</f>
        <v/>
      </c>
      <c r="G63" s="4">
        <f>'2.承租人-本部源数据'!D156/10000</f>
        <v/>
      </c>
      <c r="H63" s="4">
        <f>'2.承租人-本部源数据'!E156/10000</f>
        <v/>
      </c>
      <c r="I63" s="4">
        <f>'2.承租人-本部源数据'!F156/10000</f>
        <v/>
      </c>
      <c r="J63" s="4">
        <f>'2.承租人-本部源数据'!G156/10000</f>
        <v/>
      </c>
    </row>
    <row r="64">
      <c r="A64" s="5" t="n"/>
      <c r="B64" s="12" t="inlineStr">
        <is>
          <t>筹资活动净现金流</t>
        </is>
      </c>
      <c r="C64" s="4">
        <f>'1.承租人-合并源数据'!D169/10000</f>
        <v/>
      </c>
      <c r="D64" s="4">
        <f>'1.承租人-合并源数据'!E169/10000</f>
        <v/>
      </c>
      <c r="E64" s="4">
        <f>'1.承租人-合并源数据'!F169/10000</f>
        <v/>
      </c>
      <c r="F64" s="4">
        <f>'1.承租人-合并源数据'!G169/10000</f>
        <v/>
      </c>
      <c r="G64" s="4">
        <f>'2.承租人-本部源数据'!D169/10000</f>
        <v/>
      </c>
      <c r="H64" s="4">
        <f>'2.承租人-本部源数据'!E169/10000</f>
        <v/>
      </c>
      <c r="I64" s="4">
        <f>'2.承租人-本部源数据'!F169/10000</f>
        <v/>
      </c>
      <c r="J64" s="4">
        <f>'2.承租人-本部源数据'!G169/10000</f>
        <v/>
      </c>
    </row>
    <row r="65">
      <c r="A65" s="7" t="n"/>
      <c r="B65" s="12" t="inlineStr">
        <is>
          <t>净现金流</t>
        </is>
      </c>
      <c r="C65" s="4">
        <f>'1.承租人-合并源数据'!D171/10000</f>
        <v/>
      </c>
      <c r="D65" s="4">
        <f>'1.承租人-合并源数据'!E171/10000</f>
        <v/>
      </c>
      <c r="E65" s="4">
        <f>'1.承租人-合并源数据'!F171/10000</f>
        <v/>
      </c>
      <c r="F65" s="4">
        <f>'1.承租人-合并源数据'!G171/10000</f>
        <v/>
      </c>
      <c r="G65" s="4">
        <f>'2.承租人-本部源数据'!D171/10000</f>
        <v/>
      </c>
      <c r="H65" s="4">
        <f>'2.承租人-本部源数据'!E171/10000</f>
        <v/>
      </c>
      <c r="I65" s="4">
        <f>'2.承租人-本部源数据'!F171/10000</f>
        <v/>
      </c>
      <c r="J65" s="4">
        <f>'2.承租人-本部源数据'!G171/10000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">
    <mergeCell ref="A3:A22"/>
    <mergeCell ref="A35:A39"/>
    <mergeCell ref="A51:A52"/>
    <mergeCell ref="A23:A34"/>
    <mergeCell ref="B1:B2"/>
    <mergeCell ref="C1:F1"/>
    <mergeCell ref="G1:J1"/>
    <mergeCell ref="A40:A50"/>
    <mergeCell ref="A60:A65"/>
    <mergeCell ref="A53:A59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4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序号</t>
        </is>
      </c>
      <c r="B1" s="1" t="inlineStr">
        <is>
          <t>报表分类</t>
        </is>
      </c>
      <c r="C1" s="1" t="inlineStr">
        <is>
          <t>标准会计科目</t>
        </is>
      </c>
      <c r="D1" s="1" t="inlineStr">
        <is>
          <t>2022年</t>
        </is>
      </c>
      <c r="E1" s="1" t="inlineStr">
        <is>
          <t>2023年</t>
        </is>
      </c>
      <c r="F1" s="1" t="inlineStr">
        <is>
          <t>2024年</t>
        </is>
      </c>
      <c r="G1" s="1" t="inlineStr">
        <is>
          <t>最新一期</t>
        </is>
      </c>
    </row>
    <row r="2">
      <c r="A2" s="2" t="n">
        <v>1</v>
      </c>
      <c r="B2" s="3" t="inlineStr">
        <is>
          <t>资产负债表</t>
        </is>
      </c>
      <c r="C2" s="2" t="inlineStr">
        <is>
          <t>流动资产合计</t>
        </is>
      </c>
      <c r="D2" s="4">
        <f>SUM(D3,D5,D6,D7,D8,D9,D10,D11,D12,D13,D14,D15,D16,D17,D18,D19,D20,D21,D22)</f>
        <v/>
      </c>
      <c r="E2" s="4">
        <f>SUM(E3,E5,E6,E7,E8,E9,E10,E11,E12,E13,E14,E15,E16,E17,E18,E19,E20,E21,E22)</f>
        <v/>
      </c>
      <c r="F2" s="4">
        <f>SUM(F3,F5,F6,F7,F8,F9,F10,F11,F12,F13,F14,F15,F16,F17,F18,F19,F20,F21,F22)</f>
        <v/>
      </c>
      <c r="G2" s="4">
        <f>SUM(G3,G5,G6,G7,G8,G9,G10,G11,G12,G13,G14,G15,G16,G17,G18,G19,G20,G21,G22)</f>
        <v/>
      </c>
    </row>
    <row r="3">
      <c r="A3" s="2" t="n">
        <v>2</v>
      </c>
      <c r="B3" s="5" t="n"/>
      <c r="C3" s="2" t="inlineStr">
        <is>
          <t>货币资金</t>
        </is>
      </c>
      <c r="D3" s="6" t="n"/>
      <c r="E3" s="6" t="n"/>
      <c r="F3" s="6" t="n"/>
      <c r="G3" s="6" t="n"/>
    </row>
    <row r="4">
      <c r="A4" s="2" t="n">
        <v>3</v>
      </c>
      <c r="B4" s="5" t="n"/>
      <c r="C4" s="2" t="inlineStr">
        <is>
          <t>其中：受限货币资金</t>
        </is>
      </c>
      <c r="D4" s="6" t="n"/>
      <c r="E4" s="6" t="n"/>
      <c r="F4" s="6" t="n"/>
      <c r="G4" s="6" t="n"/>
    </row>
    <row r="5">
      <c r="A5" s="2" t="n">
        <v>4</v>
      </c>
      <c r="B5" s="5" t="n"/>
      <c r="C5" s="2" t="inlineStr">
        <is>
          <t>结算备付金</t>
        </is>
      </c>
      <c r="D5" s="6" t="n"/>
      <c r="E5" s="6" t="n"/>
      <c r="F5" s="6" t="n"/>
      <c r="G5" s="6" t="n"/>
    </row>
    <row r="6">
      <c r="A6" s="2" t="n">
        <v>5</v>
      </c>
      <c r="B6" s="5" t="n"/>
      <c r="C6" s="2" t="inlineStr">
        <is>
          <t>拆出资金</t>
        </is>
      </c>
      <c r="D6" s="6" t="n"/>
      <c r="E6" s="6" t="n"/>
      <c r="F6" s="6" t="n"/>
      <c r="G6" s="6" t="n"/>
    </row>
    <row r="7">
      <c r="A7" s="2" t="n">
        <v>6</v>
      </c>
      <c r="B7" s="5" t="n"/>
      <c r="C7" s="2" t="inlineStr">
        <is>
          <t>交易性金融资产 / 短期投资</t>
        </is>
      </c>
      <c r="D7" s="6" t="n"/>
      <c r="E7" s="6" t="n"/>
      <c r="F7" s="6" t="n"/>
      <c r="G7" s="6" t="n"/>
    </row>
    <row r="8">
      <c r="A8" s="2" t="n">
        <v>7</v>
      </c>
      <c r="B8" s="5" t="n"/>
      <c r="C8" s="2" t="inlineStr">
        <is>
          <t>衍生金融资产</t>
        </is>
      </c>
      <c r="D8" s="6" t="n"/>
      <c r="E8" s="6" t="n"/>
      <c r="F8" s="6" t="n"/>
      <c r="G8" s="6" t="n"/>
    </row>
    <row r="9">
      <c r="A9" s="2" t="n">
        <v>8</v>
      </c>
      <c r="B9" s="5" t="n"/>
      <c r="C9" s="2" t="inlineStr">
        <is>
          <t>应收票据</t>
        </is>
      </c>
      <c r="D9" s="6" t="n"/>
      <c r="E9" s="6" t="n"/>
      <c r="F9" s="6" t="n"/>
      <c r="G9" s="6" t="n"/>
    </row>
    <row r="10">
      <c r="A10" s="2" t="n">
        <v>9</v>
      </c>
      <c r="B10" s="5" t="n"/>
      <c r="C10" s="2" t="inlineStr">
        <is>
          <t>应收账款</t>
        </is>
      </c>
      <c r="D10" s="6" t="n"/>
      <c r="E10" s="6" t="n"/>
      <c r="F10" s="6" t="n"/>
      <c r="G10" s="6" t="n"/>
    </row>
    <row r="11">
      <c r="A11" s="2" t="n">
        <v>10</v>
      </c>
      <c r="B11" s="5" t="n"/>
      <c r="C11" s="2" t="inlineStr">
        <is>
          <t>应收款项融资</t>
        </is>
      </c>
      <c r="D11" s="6" t="n"/>
      <c r="E11" s="6" t="n"/>
      <c r="F11" s="6" t="n"/>
      <c r="G11" s="6" t="n"/>
    </row>
    <row r="12">
      <c r="A12" s="2" t="n">
        <v>11</v>
      </c>
      <c r="B12" s="5" t="n"/>
      <c r="C12" s="2" t="inlineStr">
        <is>
          <t>预付款项</t>
        </is>
      </c>
      <c r="D12" s="6" t="n"/>
      <c r="E12" s="6" t="n"/>
      <c r="F12" s="6" t="n"/>
      <c r="G12" s="6" t="n"/>
    </row>
    <row r="13">
      <c r="A13" s="2" t="n">
        <v>12</v>
      </c>
      <c r="B13" s="5" t="n"/>
      <c r="C13" s="2" t="inlineStr">
        <is>
          <t>应收保费 / 应收分保账款</t>
        </is>
      </c>
      <c r="D13" s="6" t="n"/>
      <c r="E13" s="6" t="n"/>
      <c r="F13" s="6" t="n"/>
      <c r="G13" s="6" t="n"/>
    </row>
    <row r="14">
      <c r="A14" s="2" t="n">
        <v>13</v>
      </c>
      <c r="B14" s="5" t="n"/>
      <c r="C14" s="2" t="inlineStr">
        <is>
          <t>应收利息</t>
        </is>
      </c>
      <c r="D14" s="6" t="n"/>
      <c r="E14" s="6" t="n"/>
      <c r="F14" s="6" t="n"/>
      <c r="G14" s="6" t="n"/>
    </row>
    <row r="15">
      <c r="A15" s="2" t="n">
        <v>14</v>
      </c>
      <c r="B15" s="5" t="n"/>
      <c r="C15" s="2" t="inlineStr">
        <is>
          <t>应收股利</t>
        </is>
      </c>
      <c r="D15" s="6" t="n"/>
      <c r="E15" s="6" t="n"/>
      <c r="F15" s="6" t="n"/>
      <c r="G15" s="6" t="n"/>
    </row>
    <row r="16">
      <c r="A16" s="2" t="n">
        <v>15</v>
      </c>
      <c r="B16" s="5" t="n"/>
      <c r="C16" s="2" t="inlineStr">
        <is>
          <t>其他应收款</t>
        </is>
      </c>
      <c r="D16" s="6" t="n"/>
      <c r="E16" s="6" t="n"/>
      <c r="F16" s="6" t="n"/>
      <c r="G16" s="6" t="n"/>
    </row>
    <row r="17">
      <c r="A17" s="2" t="n">
        <v>16</v>
      </c>
      <c r="B17" s="5" t="n"/>
      <c r="C17" s="2" t="inlineStr">
        <is>
          <t>买入返售金融资产</t>
        </is>
      </c>
      <c r="D17" s="6" t="n"/>
      <c r="E17" s="6" t="n"/>
      <c r="F17" s="6" t="n"/>
      <c r="G17" s="6" t="n"/>
    </row>
    <row r="18">
      <c r="A18" s="2" t="n">
        <v>17</v>
      </c>
      <c r="B18" s="5" t="n"/>
      <c r="C18" s="2" t="inlineStr">
        <is>
          <t>存货</t>
        </is>
      </c>
      <c r="D18" s="6" t="n"/>
      <c r="E18" s="6" t="n"/>
      <c r="F18" s="6" t="n"/>
      <c r="G18" s="6" t="n"/>
    </row>
    <row r="19">
      <c r="A19" s="2" t="n">
        <v>18</v>
      </c>
      <c r="B19" s="5" t="n"/>
      <c r="C19" s="2" t="inlineStr">
        <is>
          <t>合同资产</t>
        </is>
      </c>
      <c r="D19" s="6" t="n"/>
      <c r="E19" s="6" t="n"/>
      <c r="F19" s="6" t="n"/>
      <c r="G19" s="6" t="n"/>
    </row>
    <row r="20">
      <c r="A20" s="2" t="n">
        <v>19</v>
      </c>
      <c r="B20" s="5" t="n"/>
      <c r="C20" s="2" t="inlineStr">
        <is>
          <t>持有待售资产</t>
        </is>
      </c>
      <c r="D20" s="6" t="n"/>
      <c r="E20" s="6" t="n"/>
      <c r="F20" s="6" t="n"/>
      <c r="G20" s="6" t="n"/>
    </row>
    <row r="21">
      <c r="A21" s="2" t="n">
        <v>20</v>
      </c>
      <c r="B21" s="5" t="n"/>
      <c r="C21" s="2" t="inlineStr">
        <is>
          <t>一年内到期的非流动资产</t>
        </is>
      </c>
      <c r="D21" s="6" t="n"/>
      <c r="E21" s="6" t="n"/>
      <c r="F21" s="6" t="n"/>
      <c r="G21" s="6" t="n"/>
    </row>
    <row r="22">
      <c r="A22" s="2" t="n">
        <v>21</v>
      </c>
      <c r="B22" s="5" t="n"/>
      <c r="C22" s="2" t="inlineStr">
        <is>
          <t>其他流动资产</t>
        </is>
      </c>
      <c r="D22" s="6" t="n"/>
      <c r="E22" s="6" t="n"/>
      <c r="F22" s="6" t="n"/>
      <c r="G22" s="6" t="n"/>
    </row>
    <row r="23">
      <c r="A23" s="2" t="n">
        <v>22</v>
      </c>
      <c r="B23" s="5" t="n"/>
      <c r="C23" s="2" t="inlineStr">
        <is>
          <t>非流动资产合计</t>
        </is>
      </c>
      <c r="D23" s="4">
        <f>SUM(D24,D25,D26,D27,D28,D29,D30,D31,D32,D34,D35,D36,D37,D38,D39,D40,D41,D42)</f>
        <v/>
      </c>
      <c r="E23" s="4">
        <f>SUM(E24,E25,E26,E27,E28,E29,E30,E31,E32,E34,E35,E36,E37,E38,E39,E40,E41,E42)</f>
        <v/>
      </c>
      <c r="F23" s="4">
        <f>SUM(F24,F25,F26,F27,F28,F29,F30,F31,F32,F34,F35,F36,F37,F38,F39,F40,F41,F42)</f>
        <v/>
      </c>
      <c r="G23" s="4">
        <f>SUM(G24,G25,G26,G27,G28,G29,G30,G31,G32,G34,G35,G36,G37,G38,G39,G40,G41,G42)</f>
        <v/>
      </c>
    </row>
    <row r="24">
      <c r="A24" s="2" t="n">
        <v>23</v>
      </c>
      <c r="B24" s="5" t="n"/>
      <c r="C24" s="2" t="inlineStr">
        <is>
          <t>发放贷款和垫款</t>
        </is>
      </c>
      <c r="D24" s="6" t="n"/>
      <c r="E24" s="6" t="n"/>
      <c r="F24" s="6" t="n"/>
      <c r="G24" s="6" t="n"/>
    </row>
    <row r="25">
      <c r="A25" s="2" t="n">
        <v>24</v>
      </c>
      <c r="B25" s="5" t="n"/>
      <c r="C25" s="2" t="inlineStr">
        <is>
          <t>债权投资 / 持有至到期投资</t>
        </is>
      </c>
      <c r="D25" s="6" t="n"/>
      <c r="E25" s="6" t="n"/>
      <c r="F25" s="6" t="n"/>
      <c r="G25" s="6" t="n"/>
    </row>
    <row r="26">
      <c r="A26" s="2" t="n">
        <v>25</v>
      </c>
      <c r="B26" s="5" t="n"/>
      <c r="C26" s="2" t="inlineStr">
        <is>
          <t>其他债权投资 / 可供出售金融资产</t>
        </is>
      </c>
      <c r="D26" s="6" t="n"/>
      <c r="E26" s="6" t="n"/>
      <c r="F26" s="6" t="n"/>
      <c r="G26" s="6" t="n"/>
    </row>
    <row r="27">
      <c r="A27" s="2" t="n">
        <v>26</v>
      </c>
      <c r="B27" s="5" t="n"/>
      <c r="C27" s="2" t="inlineStr">
        <is>
          <t>长期应收款</t>
        </is>
      </c>
      <c r="D27" s="6" t="n"/>
      <c r="E27" s="6" t="n"/>
      <c r="F27" s="6" t="n"/>
      <c r="G27" s="6" t="n"/>
    </row>
    <row r="28">
      <c r="A28" s="2" t="n">
        <v>27</v>
      </c>
      <c r="B28" s="5" t="n"/>
      <c r="C28" s="2" t="inlineStr">
        <is>
          <t>长期股权投资</t>
        </is>
      </c>
      <c r="D28" s="6" t="n"/>
      <c r="E28" s="6" t="n"/>
      <c r="F28" s="6" t="n"/>
      <c r="G28" s="6" t="n"/>
    </row>
    <row r="29">
      <c r="A29" s="2" t="n">
        <v>28</v>
      </c>
      <c r="B29" s="5" t="n"/>
      <c r="C29" s="2" t="inlineStr">
        <is>
          <t>其他权益工具投资</t>
        </is>
      </c>
      <c r="D29" s="6" t="n"/>
      <c r="E29" s="6" t="n"/>
      <c r="F29" s="6" t="n"/>
      <c r="G29" s="6" t="n"/>
    </row>
    <row r="30">
      <c r="A30" s="2" t="n">
        <v>29</v>
      </c>
      <c r="B30" s="5" t="n"/>
      <c r="C30" s="2" t="inlineStr">
        <is>
          <t>其他非流动金融资产</t>
        </is>
      </c>
      <c r="D30" s="6" t="n"/>
      <c r="E30" s="6" t="n"/>
      <c r="F30" s="6" t="n"/>
      <c r="G30" s="6" t="n"/>
    </row>
    <row r="31">
      <c r="A31" s="2" t="n">
        <v>30</v>
      </c>
      <c r="B31" s="5" t="n"/>
      <c r="C31" s="2" t="inlineStr">
        <is>
          <t>投资性房地产</t>
        </is>
      </c>
      <c r="D31" s="6" t="n"/>
      <c r="E31" s="6" t="n"/>
      <c r="F31" s="6" t="n"/>
      <c r="G31" s="6" t="n"/>
    </row>
    <row r="32">
      <c r="A32" s="2" t="n">
        <v>31</v>
      </c>
      <c r="B32" s="5" t="n"/>
      <c r="C32" s="2" t="inlineStr">
        <is>
          <t>固定资产</t>
        </is>
      </c>
      <c r="D32" s="6" t="n"/>
      <c r="E32" s="6" t="n"/>
      <c r="F32" s="6" t="n"/>
      <c r="G32" s="6" t="n"/>
    </row>
    <row r="33">
      <c r="A33" s="2" t="n">
        <v>32</v>
      </c>
      <c r="B33" s="5" t="n"/>
      <c r="C33" s="2" t="inlineStr">
        <is>
          <t>其中：固定资产清理</t>
        </is>
      </c>
      <c r="D33" s="6" t="n"/>
      <c r="E33" s="6" t="n"/>
      <c r="F33" s="6" t="n"/>
      <c r="G33" s="6" t="n"/>
    </row>
    <row r="34">
      <c r="A34" s="2" t="n">
        <v>33</v>
      </c>
      <c r="B34" s="5" t="n"/>
      <c r="C34" s="2" t="inlineStr">
        <is>
          <t>在建工程</t>
        </is>
      </c>
      <c r="D34" s="6" t="n"/>
      <c r="E34" s="6" t="n"/>
      <c r="F34" s="6" t="n"/>
      <c r="G34" s="6" t="n"/>
    </row>
    <row r="35">
      <c r="A35" s="2" t="n">
        <v>34</v>
      </c>
      <c r="B35" s="5" t="n"/>
      <c r="C35" s="2" t="inlineStr">
        <is>
          <t>生产性生物资产 / 油气资产</t>
        </is>
      </c>
      <c r="D35" s="6" t="n"/>
      <c r="E35" s="6" t="n"/>
      <c r="F35" s="6" t="n"/>
      <c r="G35" s="6" t="n"/>
    </row>
    <row r="36">
      <c r="A36" s="2" t="n">
        <v>35</v>
      </c>
      <c r="B36" s="5" t="n"/>
      <c r="C36" s="2" t="inlineStr">
        <is>
          <t>使用权资产</t>
        </is>
      </c>
      <c r="D36" s="6" t="n"/>
      <c r="E36" s="6" t="n"/>
      <c r="F36" s="6" t="n"/>
      <c r="G36" s="6" t="n"/>
    </row>
    <row r="37">
      <c r="A37" s="2" t="n">
        <v>36</v>
      </c>
      <c r="B37" s="5" t="n"/>
      <c r="C37" s="2" t="inlineStr">
        <is>
          <t>无形资产</t>
        </is>
      </c>
      <c r="D37" s="6" t="n"/>
      <c r="E37" s="6" t="n"/>
      <c r="F37" s="6" t="n"/>
      <c r="G37" s="6" t="n"/>
    </row>
    <row r="38">
      <c r="A38" s="2" t="n">
        <v>37</v>
      </c>
      <c r="B38" s="5" t="n"/>
      <c r="C38" s="2" t="inlineStr">
        <is>
          <t>开发支出</t>
        </is>
      </c>
      <c r="D38" s="6" t="n"/>
      <c r="E38" s="6" t="n"/>
      <c r="F38" s="6" t="n"/>
      <c r="G38" s="6" t="n"/>
    </row>
    <row r="39">
      <c r="A39" s="2" t="n">
        <v>38</v>
      </c>
      <c r="B39" s="5" t="n"/>
      <c r="C39" s="2" t="inlineStr">
        <is>
          <t>商誉</t>
        </is>
      </c>
      <c r="D39" s="6" t="n"/>
      <c r="E39" s="6" t="n"/>
      <c r="F39" s="6" t="n"/>
      <c r="G39" s="6" t="n"/>
    </row>
    <row r="40">
      <c r="A40" s="2" t="n">
        <v>39</v>
      </c>
      <c r="B40" s="5" t="n"/>
      <c r="C40" s="2" t="inlineStr">
        <is>
          <t>长期待摊费用</t>
        </is>
      </c>
      <c r="D40" s="6" t="n"/>
      <c r="E40" s="6" t="n"/>
      <c r="F40" s="6" t="n"/>
      <c r="G40" s="6" t="n"/>
    </row>
    <row r="41">
      <c r="A41" s="2" t="n">
        <v>40</v>
      </c>
      <c r="B41" s="5" t="n"/>
      <c r="C41" s="2" t="inlineStr">
        <is>
          <t>递延所得税资产</t>
        </is>
      </c>
      <c r="D41" s="6" t="n"/>
      <c r="E41" s="6" t="n"/>
      <c r="F41" s="6" t="n"/>
      <c r="G41" s="6" t="n"/>
    </row>
    <row r="42">
      <c r="A42" s="2" t="n">
        <v>41</v>
      </c>
      <c r="B42" s="5" t="n"/>
      <c r="C42" s="2" t="inlineStr">
        <is>
          <t>其他非流动资产</t>
        </is>
      </c>
      <c r="D42" s="6" t="n"/>
      <c r="E42" s="6" t="n"/>
      <c r="F42" s="6" t="n"/>
      <c r="G42" s="6" t="n"/>
    </row>
    <row r="43">
      <c r="A43" s="2" t="n">
        <v>42</v>
      </c>
      <c r="B43" s="5" t="n"/>
      <c r="C43" s="2" t="inlineStr">
        <is>
          <t>资产总计</t>
        </is>
      </c>
      <c r="D43" s="4">
        <f>D2+D23</f>
        <v/>
      </c>
      <c r="E43" s="4">
        <f>E2+E23</f>
        <v/>
      </c>
      <c r="F43" s="4">
        <f>F2+F23</f>
        <v/>
      </c>
      <c r="G43" s="4">
        <f>G2+G23</f>
        <v/>
      </c>
    </row>
    <row r="44">
      <c r="A44" s="2" t="n">
        <v>43</v>
      </c>
      <c r="B44" s="5" t="n"/>
      <c r="C44" s="2" t="inlineStr">
        <is>
          <t>流动负债合计</t>
        </is>
      </c>
      <c r="D44" s="4">
        <f>SUM(D45,D46,D47,D48,D49,D50,D51,D52,D53,D54,D55,D56,D57,D60,D61,D62)</f>
        <v/>
      </c>
      <c r="E44" s="4">
        <f>SUM(E45,E46,E47,E48,E49,E50,E51,E52,E53,E54,E55,E56,E57,E60,E61,E62)</f>
        <v/>
      </c>
      <c r="F44" s="4">
        <f>SUM(F45,F46,F47,F48,F49,F50,F51,F52,F53,F54,F55,F56,F57,F60,F61,F62)</f>
        <v/>
      </c>
      <c r="G44" s="4">
        <f>SUM(G45,G46,G47,G48,G49,G50,G51,G52,G53,G54,G55,G56,G57,G60,G61,G62)</f>
        <v/>
      </c>
    </row>
    <row r="45">
      <c r="A45" s="2" t="n">
        <v>44</v>
      </c>
      <c r="B45" s="5" t="n"/>
      <c r="C45" s="2" t="inlineStr">
        <is>
          <t>短期借款</t>
        </is>
      </c>
      <c r="D45" s="6" t="n"/>
      <c r="E45" s="6" t="n"/>
      <c r="F45" s="6" t="n"/>
      <c r="G45" s="6" t="n"/>
    </row>
    <row r="46">
      <c r="A46" s="2" t="n">
        <v>45</v>
      </c>
      <c r="B46" s="5" t="n"/>
      <c r="C46" s="2" t="inlineStr">
        <is>
          <t>向中央银行借款</t>
        </is>
      </c>
      <c r="D46" s="6" t="n"/>
      <c r="E46" s="6" t="n"/>
      <c r="F46" s="6" t="n"/>
      <c r="G46" s="6" t="n"/>
    </row>
    <row r="47">
      <c r="A47" s="2" t="n">
        <v>46</v>
      </c>
      <c r="B47" s="5" t="n"/>
      <c r="C47" s="2" t="inlineStr">
        <is>
          <t>拆入资金 / 吸收存款及同业存放</t>
        </is>
      </c>
      <c r="D47" s="6" t="n"/>
      <c r="E47" s="6" t="n"/>
      <c r="F47" s="6" t="n"/>
      <c r="G47" s="6" t="n"/>
    </row>
    <row r="48">
      <c r="A48" s="2" t="n">
        <v>47</v>
      </c>
      <c r="B48" s="5" t="n"/>
      <c r="C48" s="2" t="inlineStr">
        <is>
          <t>交易性金融负债</t>
        </is>
      </c>
      <c r="D48" s="6" t="n"/>
      <c r="E48" s="6" t="n"/>
      <c r="F48" s="6" t="n"/>
      <c r="G48" s="6" t="n"/>
    </row>
    <row r="49">
      <c r="A49" s="2" t="n">
        <v>48</v>
      </c>
      <c r="B49" s="5" t="n"/>
      <c r="C49" s="2" t="inlineStr">
        <is>
          <t>衍生金融负债</t>
        </is>
      </c>
      <c r="D49" s="6" t="n"/>
      <c r="E49" s="6" t="n"/>
      <c r="F49" s="6" t="n"/>
      <c r="G49" s="6" t="n"/>
    </row>
    <row r="50">
      <c r="A50" s="2" t="n">
        <v>49</v>
      </c>
      <c r="B50" s="5" t="n"/>
      <c r="C50" s="2" t="inlineStr">
        <is>
          <t>应付票据</t>
        </is>
      </c>
      <c r="D50" s="6" t="n"/>
      <c r="E50" s="6" t="n"/>
      <c r="F50" s="6" t="n"/>
      <c r="G50" s="6" t="n"/>
    </row>
    <row r="51">
      <c r="A51" s="2" t="n">
        <v>50</v>
      </c>
      <c r="B51" s="5" t="n"/>
      <c r="C51" s="2" t="inlineStr">
        <is>
          <t>应付账款</t>
        </is>
      </c>
      <c r="D51" s="6" t="n"/>
      <c r="E51" s="6" t="n"/>
      <c r="F51" s="6" t="n"/>
      <c r="G51" s="6" t="n"/>
    </row>
    <row r="52">
      <c r="A52" s="2" t="n">
        <v>51</v>
      </c>
      <c r="B52" s="5" t="n"/>
      <c r="C52" s="2" t="inlineStr">
        <is>
          <t>预收款项</t>
        </is>
      </c>
      <c r="D52" s="6" t="n"/>
      <c r="E52" s="6" t="n"/>
      <c r="F52" s="6" t="n"/>
      <c r="G52" s="6" t="n"/>
    </row>
    <row r="53">
      <c r="A53" s="2" t="n">
        <v>52</v>
      </c>
      <c r="B53" s="5" t="n"/>
      <c r="C53" s="2" t="inlineStr">
        <is>
          <t>合同负债</t>
        </is>
      </c>
      <c r="D53" s="6" t="n"/>
      <c r="E53" s="6" t="n"/>
      <c r="F53" s="6" t="n"/>
      <c r="G53" s="6" t="n"/>
    </row>
    <row r="54">
      <c r="A54" s="2" t="n">
        <v>53</v>
      </c>
      <c r="B54" s="5" t="n"/>
      <c r="C54" s="2" t="inlineStr">
        <is>
          <t>卖出回购金融资产款</t>
        </is>
      </c>
      <c r="D54" s="6" t="n"/>
      <c r="E54" s="6" t="n"/>
      <c r="F54" s="6" t="n"/>
      <c r="G54" s="6" t="n"/>
    </row>
    <row r="55">
      <c r="A55" s="2" t="n">
        <v>54</v>
      </c>
      <c r="B55" s="5" t="n"/>
      <c r="C55" s="2" t="inlineStr">
        <is>
          <t>应付职工薪酬</t>
        </is>
      </c>
      <c r="D55" s="6" t="n"/>
      <c r="E55" s="6" t="n"/>
      <c r="F55" s="6" t="n"/>
      <c r="G55" s="6" t="n"/>
    </row>
    <row r="56">
      <c r="A56" s="2" t="n">
        <v>55</v>
      </c>
      <c r="B56" s="5" t="n"/>
      <c r="C56" s="2" t="inlineStr">
        <is>
          <t>应交税费</t>
        </is>
      </c>
      <c r="D56" s="6" t="n"/>
      <c r="E56" s="6" t="n"/>
      <c r="F56" s="6" t="n"/>
      <c r="G56" s="6" t="n"/>
    </row>
    <row r="57">
      <c r="A57" s="2" t="n">
        <v>56</v>
      </c>
      <c r="B57" s="5" t="n"/>
      <c r="C57" s="2" t="inlineStr">
        <is>
          <t>其他应付款</t>
        </is>
      </c>
      <c r="D57" s="6" t="n"/>
      <c r="E57" s="6" t="n"/>
      <c r="F57" s="6" t="n"/>
      <c r="G57" s="6" t="n"/>
    </row>
    <row r="58">
      <c r="A58" s="2" t="n">
        <v>57</v>
      </c>
      <c r="B58" s="5" t="n"/>
      <c r="C58" s="2" t="inlineStr">
        <is>
          <t>其中：应付利息</t>
        </is>
      </c>
      <c r="D58" s="6" t="n"/>
      <c r="E58" s="6" t="n"/>
      <c r="F58" s="6" t="n"/>
      <c r="G58" s="6" t="n"/>
    </row>
    <row r="59">
      <c r="A59" s="2" t="n">
        <v>58</v>
      </c>
      <c r="B59" s="5" t="n"/>
      <c r="C59" s="2" t="inlineStr">
        <is>
          <t>其中：应付股利</t>
        </is>
      </c>
      <c r="D59" s="6" t="n"/>
      <c r="E59" s="6" t="n"/>
      <c r="F59" s="6" t="n"/>
      <c r="G59" s="6" t="n"/>
    </row>
    <row r="60">
      <c r="A60" s="2" t="n">
        <v>59</v>
      </c>
      <c r="B60" s="5" t="n"/>
      <c r="C60" s="2" t="inlineStr">
        <is>
          <t>持有待售负债</t>
        </is>
      </c>
      <c r="D60" s="6" t="n"/>
      <c r="E60" s="6" t="n"/>
      <c r="F60" s="6" t="n"/>
      <c r="G60" s="6" t="n"/>
    </row>
    <row r="61">
      <c r="A61" s="2" t="n">
        <v>60</v>
      </c>
      <c r="B61" s="5" t="n"/>
      <c r="C61" s="2" t="inlineStr">
        <is>
          <t>一年内到期的非流动负债</t>
        </is>
      </c>
      <c r="D61" s="6" t="n"/>
      <c r="E61" s="6" t="n"/>
      <c r="F61" s="6" t="n"/>
      <c r="G61" s="6" t="n"/>
    </row>
    <row r="62">
      <c r="A62" s="2" t="n">
        <v>61</v>
      </c>
      <c r="B62" s="5" t="n"/>
      <c r="C62" s="2" t="inlineStr">
        <is>
          <t>其他流动负债</t>
        </is>
      </c>
      <c r="D62" s="6" t="n"/>
      <c r="E62" s="6" t="n"/>
      <c r="F62" s="6" t="n"/>
      <c r="G62" s="6" t="n"/>
    </row>
    <row r="63">
      <c r="A63" s="2" t="n">
        <v>62</v>
      </c>
      <c r="B63" s="5" t="n"/>
      <c r="C63" s="2" t="inlineStr">
        <is>
          <t>非流动负债合计</t>
        </is>
      </c>
      <c r="D63" s="4">
        <f>SUM(D64,D65,D68,D69,D70,D71,D72,D73,D74)</f>
        <v/>
      </c>
      <c r="E63" s="4">
        <f>SUM(E64,E65,E68,E69,E70,E71,E72,E73,E74)</f>
        <v/>
      </c>
      <c r="F63" s="4">
        <f>SUM(F64,F65,F68,F69,F70,F71,F72,F73,F74)</f>
        <v/>
      </c>
      <c r="G63" s="4">
        <f>SUM(G64,G65,G68,G69,G70,G71,G72,G73,G74)</f>
        <v/>
      </c>
    </row>
    <row r="64">
      <c r="A64" s="2" t="n">
        <v>63</v>
      </c>
      <c r="B64" s="5" t="n"/>
      <c r="C64" s="2" t="inlineStr">
        <is>
          <t>长期借款</t>
        </is>
      </c>
      <c r="D64" s="6" t="n"/>
      <c r="E64" s="6" t="n"/>
      <c r="F64" s="6" t="n"/>
      <c r="G64" s="6" t="n"/>
    </row>
    <row r="65">
      <c r="A65" s="2" t="n">
        <v>64</v>
      </c>
      <c r="B65" s="5" t="n"/>
      <c r="C65" s="2" t="inlineStr">
        <is>
          <t>应付债券</t>
        </is>
      </c>
      <c r="D65" s="6" t="n"/>
      <c r="E65" s="6" t="n"/>
      <c r="F65" s="6" t="n"/>
      <c r="G65" s="6" t="n"/>
    </row>
    <row r="66">
      <c r="A66" s="2" t="n">
        <v>65</v>
      </c>
      <c r="B66" s="5" t="n"/>
      <c r="C66" s="2" t="inlineStr">
        <is>
          <t>其中：优先股</t>
        </is>
      </c>
      <c r="D66" s="6" t="n"/>
      <c r="E66" s="6" t="n"/>
      <c r="F66" s="6" t="n"/>
      <c r="G66" s="6" t="n"/>
    </row>
    <row r="67">
      <c r="A67" s="2" t="n">
        <v>66</v>
      </c>
      <c r="B67" s="5" t="n"/>
      <c r="C67" s="2" t="inlineStr">
        <is>
          <t>其中：永续债</t>
        </is>
      </c>
      <c r="D67" s="6" t="n"/>
      <c r="E67" s="6" t="n"/>
      <c r="F67" s="6" t="n"/>
      <c r="G67" s="6" t="n"/>
    </row>
    <row r="68">
      <c r="A68" s="2" t="n">
        <v>67</v>
      </c>
      <c r="B68" s="5" t="n"/>
      <c r="C68" s="2" t="inlineStr">
        <is>
          <t>租赁负债</t>
        </is>
      </c>
      <c r="D68" s="6" t="n"/>
      <c r="E68" s="6" t="n"/>
      <c r="F68" s="6" t="n"/>
      <c r="G68" s="6" t="n"/>
    </row>
    <row r="69">
      <c r="A69" s="2" t="n">
        <v>68</v>
      </c>
      <c r="B69" s="5" t="n"/>
      <c r="C69" s="2" t="inlineStr">
        <is>
          <t>长期应付款</t>
        </is>
      </c>
      <c r="D69" s="6" t="n"/>
      <c r="E69" s="6" t="n"/>
      <c r="F69" s="6" t="n"/>
      <c r="G69" s="6" t="n"/>
    </row>
    <row r="70">
      <c r="A70" s="2" t="n">
        <v>69</v>
      </c>
      <c r="B70" s="5" t="n"/>
      <c r="C70" s="2" t="inlineStr">
        <is>
          <t>长期应付职工薪酬</t>
        </is>
      </c>
      <c r="D70" s="6" t="n"/>
      <c r="E70" s="6" t="n"/>
      <c r="F70" s="6" t="n"/>
      <c r="G70" s="6" t="n"/>
    </row>
    <row r="71">
      <c r="A71" s="2" t="n">
        <v>70</v>
      </c>
      <c r="B71" s="5" t="n"/>
      <c r="C71" s="2" t="inlineStr">
        <is>
          <t>预计负债</t>
        </is>
      </c>
      <c r="D71" s="6" t="n"/>
      <c r="E71" s="6" t="n"/>
      <c r="F71" s="6" t="n"/>
      <c r="G71" s="6" t="n"/>
    </row>
    <row r="72">
      <c r="A72" s="2" t="n">
        <v>71</v>
      </c>
      <c r="B72" s="5" t="n"/>
      <c r="C72" s="2" t="inlineStr">
        <is>
          <t>递延收益</t>
        </is>
      </c>
      <c r="D72" s="6" t="n"/>
      <c r="E72" s="6" t="n"/>
      <c r="F72" s="6" t="n"/>
      <c r="G72" s="6" t="n"/>
    </row>
    <row r="73">
      <c r="A73" s="2" t="n">
        <v>72</v>
      </c>
      <c r="B73" s="5" t="n"/>
      <c r="C73" s="2" t="inlineStr">
        <is>
          <t>递延所得税负债</t>
        </is>
      </c>
      <c r="D73" s="6" t="n"/>
      <c r="E73" s="6" t="n"/>
      <c r="F73" s="6" t="n"/>
      <c r="G73" s="6" t="n"/>
    </row>
    <row r="74">
      <c r="A74" s="2" t="n">
        <v>73</v>
      </c>
      <c r="B74" s="5" t="n"/>
      <c r="C74" s="2" t="inlineStr">
        <is>
          <t>其他非流动负债</t>
        </is>
      </c>
      <c r="D74" s="6" t="n"/>
      <c r="E74" s="6" t="n"/>
      <c r="F74" s="6" t="n"/>
      <c r="G74" s="6" t="n"/>
    </row>
    <row r="75">
      <c r="A75" s="2" t="n">
        <v>74</v>
      </c>
      <c r="B75" s="5" t="n"/>
      <c r="C75" s="2" t="inlineStr">
        <is>
          <t>负债合计</t>
        </is>
      </c>
      <c r="D75" s="4">
        <f>D44+D63</f>
        <v/>
      </c>
      <c r="E75" s="4">
        <f>E44+E63</f>
        <v/>
      </c>
      <c r="F75" s="4">
        <f>F44+F63</f>
        <v/>
      </c>
      <c r="G75" s="4">
        <f>G44+G63</f>
        <v/>
      </c>
    </row>
    <row r="76">
      <c r="A76" s="2" t="n">
        <v>75</v>
      </c>
      <c r="B76" s="5" t="n"/>
      <c r="C76" s="2" t="inlineStr">
        <is>
          <t>所有者权益合计</t>
        </is>
      </c>
      <c r="D76" s="4">
        <f>D88+D89</f>
        <v/>
      </c>
      <c r="E76" s="4">
        <f>E88+E89</f>
        <v/>
      </c>
      <c r="F76" s="4">
        <f>F88+F89</f>
        <v/>
      </c>
      <c r="G76" s="4">
        <f>G88+G89</f>
        <v/>
      </c>
    </row>
    <row r="77">
      <c r="A77" s="2" t="n">
        <v>76</v>
      </c>
      <c r="B77" s="5" t="n"/>
      <c r="C77" s="2" t="inlineStr">
        <is>
          <t>实收资本 (或股本)</t>
        </is>
      </c>
      <c r="D77" s="6" t="n"/>
      <c r="E77" s="6" t="n"/>
      <c r="F77" s="6" t="n"/>
      <c r="G77" s="6" t="n"/>
    </row>
    <row r="78">
      <c r="A78" s="2" t="n">
        <v>77</v>
      </c>
      <c r="B78" s="5" t="n"/>
      <c r="C78" s="2" t="inlineStr">
        <is>
          <t>其他权益工具</t>
        </is>
      </c>
      <c r="D78" s="6" t="n"/>
      <c r="E78" s="6" t="n"/>
      <c r="F78" s="6" t="n"/>
      <c r="G78" s="6" t="n"/>
    </row>
    <row r="79">
      <c r="A79" s="2" t="n">
        <v>78</v>
      </c>
      <c r="B79" s="5" t="n"/>
      <c r="C79" s="2" t="inlineStr">
        <is>
          <t>其中：优先股 (权益类)</t>
        </is>
      </c>
      <c r="D79" s="6" t="n"/>
      <c r="E79" s="6" t="n"/>
      <c r="F79" s="6" t="n"/>
      <c r="G79" s="6" t="n"/>
    </row>
    <row r="80">
      <c r="A80" s="2" t="n">
        <v>79</v>
      </c>
      <c r="B80" s="5" t="n"/>
      <c r="C80" s="2" t="inlineStr">
        <is>
          <t>其中：永续债 (权益类)</t>
        </is>
      </c>
      <c r="D80" s="6" t="n"/>
      <c r="E80" s="6" t="n"/>
      <c r="F80" s="6" t="n"/>
      <c r="G80" s="6" t="n"/>
    </row>
    <row r="81">
      <c r="A81" s="2" t="n">
        <v>80</v>
      </c>
      <c r="B81" s="5" t="n"/>
      <c r="C81" s="2" t="inlineStr">
        <is>
          <t>资本公积</t>
        </is>
      </c>
      <c r="D81" s="6" t="n"/>
      <c r="E81" s="6" t="n"/>
      <c r="F81" s="6" t="n"/>
      <c r="G81" s="6" t="n"/>
    </row>
    <row r="82">
      <c r="A82" s="2" t="n">
        <v>81</v>
      </c>
      <c r="B82" s="5" t="n"/>
      <c r="C82" s="2" t="inlineStr">
        <is>
          <t>减：库存股</t>
        </is>
      </c>
      <c r="D82" s="6" t="n"/>
      <c r="E82" s="6" t="n"/>
      <c r="F82" s="6" t="n"/>
      <c r="G82" s="6" t="n"/>
    </row>
    <row r="83">
      <c r="A83" s="2" t="n">
        <v>82</v>
      </c>
      <c r="B83" s="5" t="n"/>
      <c r="C83" s="2" t="inlineStr">
        <is>
          <t>其他综合收益</t>
        </is>
      </c>
      <c r="D83" s="6" t="n"/>
      <c r="E83" s="6" t="n"/>
      <c r="F83" s="6" t="n"/>
      <c r="G83" s="6" t="n"/>
    </row>
    <row r="84">
      <c r="A84" s="2" t="n">
        <v>83</v>
      </c>
      <c r="B84" s="5" t="n"/>
      <c r="C84" s="2" t="inlineStr">
        <is>
          <t>专项储备</t>
        </is>
      </c>
      <c r="D84" s="6" t="n"/>
      <c r="E84" s="6" t="n"/>
      <c r="F84" s="6" t="n"/>
      <c r="G84" s="6" t="n"/>
    </row>
    <row r="85">
      <c r="A85" s="2" t="n">
        <v>84</v>
      </c>
      <c r="B85" s="5" t="n"/>
      <c r="C85" s="2" t="inlineStr">
        <is>
          <t>盈余公积</t>
        </is>
      </c>
      <c r="D85" s="6" t="n"/>
      <c r="E85" s="6" t="n"/>
      <c r="F85" s="6" t="n"/>
      <c r="G85" s="6" t="n"/>
    </row>
    <row r="86">
      <c r="A86" s="2" t="n">
        <v>85</v>
      </c>
      <c r="B86" s="5" t="n"/>
      <c r="C86" s="2" t="inlineStr">
        <is>
          <t>一般风险准备</t>
        </is>
      </c>
      <c r="D86" s="6" t="n"/>
      <c r="E86" s="6" t="n"/>
      <c r="F86" s="6" t="n"/>
      <c r="G86" s="6" t="n"/>
    </row>
    <row r="87">
      <c r="A87" s="2" t="n">
        <v>86</v>
      </c>
      <c r="B87" s="5" t="n"/>
      <c r="C87" s="2" t="inlineStr">
        <is>
          <t>未分配利润</t>
        </is>
      </c>
      <c r="D87" s="6" t="n"/>
      <c r="E87" s="6" t="n"/>
      <c r="F87" s="6" t="n"/>
      <c r="G87" s="6" t="n"/>
    </row>
    <row r="88">
      <c r="A88" s="2" t="n">
        <v>87</v>
      </c>
      <c r="B88" s="5" t="n"/>
      <c r="C88" s="2" t="inlineStr">
        <is>
          <t>归属于母公司所有者权益合计</t>
        </is>
      </c>
      <c r="D88" s="4">
        <f>SUM(D77,D78,D81,D83,D84,D85,D86,D87)-SUM(D82)</f>
        <v/>
      </c>
      <c r="E88" s="4">
        <f>SUM(E77,E78,E81,E83,E84,E85,E86,E87)-SUM(E82)</f>
        <v/>
      </c>
      <c r="F88" s="4">
        <f>SUM(F77,F78,F81,F83,F84,F85,F86,F87)-SUM(F82)</f>
        <v/>
      </c>
      <c r="G88" s="4">
        <f>SUM(G77,G78,G81,G83,G84,G85,G86,G87)-SUM(G82)</f>
        <v/>
      </c>
    </row>
    <row r="89">
      <c r="A89" s="2" t="n">
        <v>88</v>
      </c>
      <c r="B89" s="5" t="n"/>
      <c r="C89" s="2" t="inlineStr">
        <is>
          <t>少数股东权益</t>
        </is>
      </c>
      <c r="D89" s="6" t="n"/>
      <c r="E89" s="6" t="n"/>
      <c r="F89" s="6" t="n"/>
      <c r="G89" s="6" t="n"/>
    </row>
    <row r="90">
      <c r="A90" s="2" t="n">
        <v>89</v>
      </c>
      <c r="B90" s="5" t="n"/>
      <c r="C90" s="2" t="inlineStr">
        <is>
          <t>负债和所有者权益总计</t>
        </is>
      </c>
      <c r="D90" s="4">
        <f>D75+D76</f>
        <v/>
      </c>
      <c r="E90" s="4">
        <f>E75+E76</f>
        <v/>
      </c>
      <c r="F90" s="4">
        <f>F75+F76</f>
        <v/>
      </c>
      <c r="G90" s="4">
        <f>G75+G76</f>
        <v/>
      </c>
    </row>
    <row r="91">
      <c r="A91" s="2" t="n">
        <v>90</v>
      </c>
      <c r="B91" s="7" t="n"/>
      <c r="C91" s="2" t="inlineStr">
        <is>
          <t>【配平检查】资产 - (负债+权益)</t>
        </is>
      </c>
      <c r="D91" s="8">
        <f>D43-D90</f>
        <v/>
      </c>
      <c r="E91" s="8">
        <f>E43-E90</f>
        <v/>
      </c>
      <c r="F91" s="8">
        <f>F43-F90</f>
        <v/>
      </c>
      <c r="G91" s="8">
        <f>G43-G90</f>
        <v/>
      </c>
    </row>
    <row r="92">
      <c r="A92" s="2" t="inlineStr"/>
      <c r="B92" s="3" t="inlineStr"/>
      <c r="C92" s="2" t="inlineStr"/>
      <c r="D92" s="9" t="n"/>
      <c r="E92" s="9" t="n"/>
      <c r="F92" s="9" t="n"/>
      <c r="G92" s="9" t="n"/>
    </row>
    <row r="93">
      <c r="A93" s="2" t="n">
        <v>91</v>
      </c>
      <c r="B93" s="3" t="inlineStr">
        <is>
          <t>利润表</t>
        </is>
      </c>
      <c r="C93" s="2" t="inlineStr">
        <is>
          <t>营业总收入</t>
        </is>
      </c>
      <c r="D93" s="6" t="n"/>
      <c r="E93" s="6" t="n"/>
      <c r="F93" s="6" t="n"/>
      <c r="G93" s="6" t="n"/>
    </row>
    <row r="94">
      <c r="A94" s="2" t="n">
        <v>92</v>
      </c>
      <c r="B94" s="5" t="n"/>
      <c r="C94" s="2" t="inlineStr">
        <is>
          <t>营业收入</t>
        </is>
      </c>
      <c r="D94" s="6" t="n"/>
      <c r="E94" s="6" t="n"/>
      <c r="F94" s="6" t="n"/>
      <c r="G94" s="6" t="n"/>
    </row>
    <row r="95">
      <c r="A95" s="2" t="n">
        <v>93</v>
      </c>
      <c r="B95" s="5" t="n"/>
      <c r="C95" s="2" t="inlineStr">
        <is>
          <t>利息收入 / 手续费及佣金收入</t>
        </is>
      </c>
      <c r="D95" s="6" t="n"/>
      <c r="E95" s="6" t="n"/>
      <c r="F95" s="6" t="n"/>
      <c r="G95" s="6" t="n"/>
    </row>
    <row r="96">
      <c r="A96" s="2" t="n">
        <v>94</v>
      </c>
      <c r="B96" s="5" t="n"/>
      <c r="C96" s="2" t="inlineStr">
        <is>
          <t>营业总成本</t>
        </is>
      </c>
      <c r="D96" s="6" t="n"/>
      <c r="E96" s="6" t="n"/>
      <c r="F96" s="6" t="n"/>
      <c r="G96" s="6" t="n"/>
    </row>
    <row r="97">
      <c r="A97" s="2" t="n">
        <v>95</v>
      </c>
      <c r="B97" s="5" t="n"/>
      <c r="C97" s="2" t="inlineStr">
        <is>
          <t>营业成本</t>
        </is>
      </c>
      <c r="D97" s="6" t="n"/>
      <c r="E97" s="6" t="n"/>
      <c r="F97" s="6" t="n"/>
      <c r="G97" s="6" t="n"/>
    </row>
    <row r="98">
      <c r="A98" s="2" t="n">
        <v>96</v>
      </c>
      <c r="B98" s="5" t="n"/>
      <c r="C98" s="2" t="inlineStr">
        <is>
          <t>利息支出 / 手续费及佣金支出</t>
        </is>
      </c>
      <c r="D98" s="6" t="n"/>
      <c r="E98" s="6" t="n"/>
      <c r="F98" s="6" t="n"/>
      <c r="G98" s="6" t="n"/>
    </row>
    <row r="99">
      <c r="A99" s="2" t="n">
        <v>97</v>
      </c>
      <c r="B99" s="5" t="n"/>
      <c r="C99" s="2" t="inlineStr">
        <is>
          <t>税金及附加</t>
        </is>
      </c>
      <c r="D99" s="6" t="n"/>
      <c r="E99" s="6" t="n"/>
      <c r="F99" s="6" t="n"/>
      <c r="G99" s="6" t="n"/>
    </row>
    <row r="100">
      <c r="A100" s="2" t="n">
        <v>98</v>
      </c>
      <c r="B100" s="5" t="n"/>
      <c r="C100" s="2" t="inlineStr">
        <is>
          <t>销售费用</t>
        </is>
      </c>
      <c r="D100" s="6" t="n"/>
      <c r="E100" s="6" t="n"/>
      <c r="F100" s="6" t="n"/>
      <c r="G100" s="6" t="n"/>
    </row>
    <row r="101">
      <c r="A101" s="2" t="n">
        <v>99</v>
      </c>
      <c r="B101" s="5" t="n"/>
      <c r="C101" s="2" t="inlineStr">
        <is>
          <t>管理费用</t>
        </is>
      </c>
      <c r="D101" s="6" t="n"/>
      <c r="E101" s="6" t="n"/>
      <c r="F101" s="6" t="n"/>
      <c r="G101" s="6" t="n"/>
    </row>
    <row r="102">
      <c r="A102" s="2" t="n">
        <v>100</v>
      </c>
      <c r="B102" s="5" t="n"/>
      <c r="C102" s="2" t="inlineStr">
        <is>
          <t>研发费用</t>
        </is>
      </c>
      <c r="D102" s="6" t="n"/>
      <c r="E102" s="6" t="n"/>
      <c r="F102" s="6" t="n"/>
      <c r="G102" s="6" t="n"/>
    </row>
    <row r="103">
      <c r="A103" s="2" t="n">
        <v>101</v>
      </c>
      <c r="B103" s="5" t="n"/>
      <c r="C103" s="2" t="inlineStr">
        <is>
          <t>财务费用</t>
        </is>
      </c>
      <c r="D103" s="6" t="n"/>
      <c r="E103" s="6" t="n"/>
      <c r="F103" s="6" t="n"/>
      <c r="G103" s="6" t="n"/>
    </row>
    <row r="104">
      <c r="A104" s="2" t="n">
        <v>102</v>
      </c>
      <c r="B104" s="5" t="n"/>
      <c r="C104" s="2" t="inlineStr">
        <is>
          <t>其中：利息费用</t>
        </is>
      </c>
      <c r="D104" s="6" t="n"/>
      <c r="E104" s="6" t="n"/>
      <c r="F104" s="6" t="n"/>
      <c r="G104" s="6" t="n"/>
    </row>
    <row r="105">
      <c r="A105" s="2" t="n">
        <v>103</v>
      </c>
      <c r="B105" s="5" t="n"/>
      <c r="C105" s="2" t="inlineStr">
        <is>
          <t>其中：利息收入</t>
        </is>
      </c>
      <c r="D105" s="6" t="n"/>
      <c r="E105" s="6" t="n"/>
      <c r="F105" s="6" t="n"/>
      <c r="G105" s="6" t="n"/>
    </row>
    <row r="106">
      <c r="A106" s="2" t="n">
        <v>104</v>
      </c>
      <c r="B106" s="5" t="n"/>
      <c r="C106" s="2" t="inlineStr">
        <is>
          <t>加：其他收益</t>
        </is>
      </c>
      <c r="D106" s="6" t="n"/>
      <c r="E106" s="6" t="n"/>
      <c r="F106" s="6" t="n"/>
      <c r="G106" s="6" t="n"/>
    </row>
    <row r="107">
      <c r="A107" s="2" t="n">
        <v>105</v>
      </c>
      <c r="B107" s="5" t="n"/>
      <c r="C107" s="2" t="inlineStr">
        <is>
          <t>投资收益</t>
        </is>
      </c>
      <c r="D107" s="6" t="n"/>
      <c r="E107" s="6" t="n"/>
      <c r="F107" s="6" t="n"/>
      <c r="G107" s="6" t="n"/>
    </row>
    <row r="108">
      <c r="A108" s="2" t="n">
        <v>106</v>
      </c>
      <c r="B108" s="5" t="n"/>
      <c r="C108" s="2" t="inlineStr">
        <is>
          <t>其中：对联营企业和合营企业的投资收益</t>
        </is>
      </c>
      <c r="D108" s="6" t="n"/>
      <c r="E108" s="6" t="n"/>
      <c r="F108" s="6" t="n"/>
      <c r="G108" s="6" t="n"/>
    </row>
    <row r="109">
      <c r="A109" s="2" t="n">
        <v>107</v>
      </c>
      <c r="B109" s="5" t="n"/>
      <c r="C109" s="2" t="inlineStr">
        <is>
          <t>以摊余成本计量的金融资产终止确认收益</t>
        </is>
      </c>
      <c r="D109" s="6" t="n"/>
      <c r="E109" s="6" t="n"/>
      <c r="F109" s="6" t="n"/>
      <c r="G109" s="6" t="n"/>
    </row>
    <row r="110">
      <c r="A110" s="2" t="n">
        <v>108</v>
      </c>
      <c r="B110" s="5" t="n"/>
      <c r="C110" s="2" t="inlineStr">
        <is>
          <t>净敞口套期收益 / 汇兑收益</t>
        </is>
      </c>
      <c r="D110" s="6" t="n"/>
      <c r="E110" s="6" t="n"/>
      <c r="F110" s="6" t="n"/>
      <c r="G110" s="6" t="n"/>
    </row>
    <row r="111">
      <c r="A111" s="2" t="n">
        <v>109</v>
      </c>
      <c r="B111" s="5" t="n"/>
      <c r="C111" s="2" t="inlineStr">
        <is>
          <t>公允价值变动收益</t>
        </is>
      </c>
      <c r="D111" s="6" t="n"/>
      <c r="E111" s="6" t="n"/>
      <c r="F111" s="6" t="n"/>
      <c r="G111" s="6" t="n"/>
    </row>
    <row r="112">
      <c r="A112" s="2" t="n">
        <v>110</v>
      </c>
      <c r="B112" s="5" t="n"/>
      <c r="C112" s="2" t="inlineStr">
        <is>
          <t>信用减值损失</t>
        </is>
      </c>
      <c r="D112" s="6" t="n"/>
      <c r="E112" s="6" t="n"/>
      <c r="F112" s="6" t="n"/>
      <c r="G112" s="6" t="n"/>
    </row>
    <row r="113">
      <c r="A113" s="2" t="n">
        <v>111</v>
      </c>
      <c r="B113" s="5" t="n"/>
      <c r="C113" s="2" t="inlineStr">
        <is>
          <t>资产减值损失</t>
        </is>
      </c>
      <c r="D113" s="6" t="n"/>
      <c r="E113" s="6" t="n"/>
      <c r="F113" s="6" t="n"/>
      <c r="G113" s="6" t="n"/>
    </row>
    <row r="114">
      <c r="A114" s="2" t="n">
        <v>112</v>
      </c>
      <c r="B114" s="5" t="n"/>
      <c r="C114" s="2" t="inlineStr">
        <is>
          <t>资产处置收益</t>
        </is>
      </c>
      <c r="D114" s="6" t="n"/>
      <c r="E114" s="6" t="n"/>
      <c r="F114" s="6" t="n"/>
      <c r="G114" s="6" t="n"/>
    </row>
    <row r="115">
      <c r="A115" s="2" t="n">
        <v>113</v>
      </c>
      <c r="B115" s="5" t="n"/>
      <c r="C115" s="2" t="inlineStr">
        <is>
          <t>营业利润</t>
        </is>
      </c>
      <c r="D115" s="4">
        <f>D93-D96+D106+D107+D111-D112-D113+D114</f>
        <v/>
      </c>
      <c r="E115" s="4">
        <f>E93-E96+E106+E107+E111-E112-E113+E114</f>
        <v/>
      </c>
      <c r="F115" s="4">
        <f>F93-F96+F106+F107+F111-F112-F113+F114</f>
        <v/>
      </c>
      <c r="G115" s="4">
        <f>G93-G96+G106+G107+G111-G112-G113+G114</f>
        <v/>
      </c>
    </row>
    <row r="116">
      <c r="A116" s="2" t="n">
        <v>114</v>
      </c>
      <c r="B116" s="5" t="n"/>
      <c r="C116" s="2" t="inlineStr">
        <is>
          <t>加：营业外收入</t>
        </is>
      </c>
      <c r="D116" s="6" t="n"/>
      <c r="E116" s="6" t="n"/>
      <c r="F116" s="6" t="n"/>
      <c r="G116" s="6" t="n"/>
    </row>
    <row r="117">
      <c r="A117" s="2" t="n">
        <v>115</v>
      </c>
      <c r="B117" s="5" t="n"/>
      <c r="C117" s="2" t="inlineStr">
        <is>
          <t>减：营业外支出</t>
        </is>
      </c>
      <c r="D117" s="6" t="n"/>
      <c r="E117" s="6" t="n"/>
      <c r="F117" s="6" t="n"/>
      <c r="G117" s="6" t="n"/>
    </row>
    <row r="118">
      <c r="A118" s="2" t="n">
        <v>116</v>
      </c>
      <c r="B118" s="5" t="n"/>
      <c r="C118" s="2" t="inlineStr">
        <is>
          <t>利润总额</t>
        </is>
      </c>
      <c r="D118" s="4">
        <f>D115+D116-D117</f>
        <v/>
      </c>
      <c r="E118" s="4">
        <f>E115+E116-E117</f>
        <v/>
      </c>
      <c r="F118" s="4">
        <f>F115+F116-F117</f>
        <v/>
      </c>
      <c r="G118" s="4">
        <f>G115+G116-G117</f>
        <v/>
      </c>
    </row>
    <row r="119">
      <c r="A119" s="2" t="n">
        <v>117</v>
      </c>
      <c r="B119" s="5" t="n"/>
      <c r="C119" s="2" t="inlineStr">
        <is>
          <t>减：所得税费用</t>
        </is>
      </c>
      <c r="D119" s="6" t="n"/>
      <c r="E119" s="6" t="n"/>
      <c r="F119" s="6" t="n"/>
      <c r="G119" s="6" t="n"/>
    </row>
    <row r="120">
      <c r="A120" s="2" t="n">
        <v>118</v>
      </c>
      <c r="B120" s="5" t="n"/>
      <c r="C120" s="2" t="inlineStr">
        <is>
          <t>净利润</t>
        </is>
      </c>
      <c r="D120" s="4">
        <f>D118-D119</f>
        <v/>
      </c>
      <c r="E120" s="4">
        <f>E118-E119</f>
        <v/>
      </c>
      <c r="F120" s="4">
        <f>F118-F119</f>
        <v/>
      </c>
      <c r="G120" s="4">
        <f>G118-G119</f>
        <v/>
      </c>
    </row>
    <row r="121">
      <c r="A121" s="2" t="n">
        <v>119</v>
      </c>
      <c r="B121" s="5" t="n"/>
      <c r="C121" s="2" t="inlineStr">
        <is>
          <t>归属于母公司所有者的净利润</t>
        </is>
      </c>
      <c r="D121" s="6" t="n"/>
      <c r="E121" s="6" t="n"/>
      <c r="F121" s="6" t="n"/>
      <c r="G121" s="6" t="n"/>
    </row>
    <row r="122">
      <c r="A122" s="2" t="n">
        <v>120</v>
      </c>
      <c r="B122" s="5" t="n"/>
      <c r="C122" s="2" t="inlineStr">
        <is>
          <t>少数股东损益</t>
        </is>
      </c>
      <c r="D122" s="6" t="n"/>
      <c r="E122" s="6" t="n"/>
      <c r="F122" s="6" t="n"/>
      <c r="G122" s="6" t="n"/>
    </row>
    <row r="123">
      <c r="A123" s="2" t="n">
        <v>121</v>
      </c>
      <c r="B123" s="5" t="n"/>
      <c r="C123" s="2" t="inlineStr">
        <is>
          <t>综合收益总额</t>
        </is>
      </c>
      <c r="D123" s="6" t="n"/>
      <c r="E123" s="6" t="n"/>
      <c r="F123" s="6" t="n"/>
      <c r="G123" s="6" t="n"/>
    </row>
    <row r="124">
      <c r="A124" s="2" t="n">
        <v>122</v>
      </c>
      <c r="B124" s="7" t="n"/>
      <c r="C124" s="2" t="inlineStr">
        <is>
          <t>【利润勾稽】净利润 - (归母+少数)</t>
        </is>
      </c>
      <c r="D124" s="8">
        <f>D120-(D121+D122)</f>
        <v/>
      </c>
      <c r="E124" s="8">
        <f>E120-(E121+E122)</f>
        <v/>
      </c>
      <c r="F124" s="8">
        <f>F120-(F121+F122)</f>
        <v/>
      </c>
      <c r="G124" s="8">
        <f>G120-(G121+G122)</f>
        <v/>
      </c>
    </row>
    <row r="125">
      <c r="A125" s="2" t="inlineStr"/>
      <c r="B125" s="3" t="inlineStr"/>
      <c r="C125" s="2" t="inlineStr"/>
      <c r="D125" s="9" t="n"/>
      <c r="E125" s="9" t="n"/>
      <c r="F125" s="9" t="n"/>
      <c r="G125" s="9" t="n"/>
    </row>
    <row r="126">
      <c r="A126" s="2" t="n">
        <v>123</v>
      </c>
      <c r="B126" s="3" t="inlineStr">
        <is>
          <t>现金流量表</t>
        </is>
      </c>
      <c r="C126" s="2" t="inlineStr">
        <is>
          <t>经营活动产生的现金流量：</t>
        </is>
      </c>
      <c r="D126" s="6" t="n"/>
      <c r="E126" s="6" t="n"/>
      <c r="F126" s="6" t="n"/>
      <c r="G126" s="6" t="n"/>
    </row>
    <row r="127">
      <c r="A127" s="2" t="n">
        <v>124</v>
      </c>
      <c r="B127" s="5" t="n"/>
      <c r="C127" s="2" t="inlineStr">
        <is>
          <t>销售商品、提供劳务收到的现金</t>
        </is>
      </c>
      <c r="D127" s="6" t="n"/>
      <c r="E127" s="6" t="n"/>
      <c r="F127" s="6" t="n"/>
      <c r="G127" s="6" t="n"/>
    </row>
    <row r="128">
      <c r="A128" s="2" t="n">
        <v>125</v>
      </c>
      <c r="B128" s="5" t="n"/>
      <c r="C128" s="2" t="inlineStr">
        <is>
          <t>客户存款和同业存放款项净增加额</t>
        </is>
      </c>
      <c r="D128" s="6" t="n"/>
      <c r="E128" s="6" t="n"/>
      <c r="F128" s="6" t="n"/>
      <c r="G128" s="6" t="n"/>
    </row>
    <row r="129">
      <c r="A129" s="2" t="n">
        <v>126</v>
      </c>
      <c r="B129" s="5" t="n"/>
      <c r="C129" s="2" t="inlineStr">
        <is>
          <t>向中央银行借款净增加额 / 拆入资金净增加额</t>
        </is>
      </c>
      <c r="D129" s="6" t="n"/>
      <c r="E129" s="6" t="n"/>
      <c r="F129" s="6" t="n"/>
      <c r="G129" s="6" t="n"/>
    </row>
    <row r="130">
      <c r="A130" s="2" t="n">
        <v>127</v>
      </c>
      <c r="B130" s="5" t="n"/>
      <c r="C130" s="2" t="inlineStr">
        <is>
          <t>收取利息、手续费及佣金的现金</t>
        </is>
      </c>
      <c r="D130" s="6" t="n"/>
      <c r="E130" s="6" t="n"/>
      <c r="F130" s="6" t="n"/>
      <c r="G130" s="6" t="n"/>
    </row>
    <row r="131">
      <c r="A131" s="2" t="n">
        <v>128</v>
      </c>
      <c r="B131" s="5" t="n"/>
      <c r="C131" s="2" t="inlineStr">
        <is>
          <t>收到的税费返还</t>
        </is>
      </c>
      <c r="D131" s="6" t="n"/>
      <c r="E131" s="6" t="n"/>
      <c r="F131" s="6" t="n"/>
      <c r="G131" s="6" t="n"/>
    </row>
    <row r="132">
      <c r="A132" s="2" t="n">
        <v>129</v>
      </c>
      <c r="B132" s="5" t="n"/>
      <c r="C132" s="2" t="inlineStr">
        <is>
          <t>收到其他与经营活动有关的现金</t>
        </is>
      </c>
      <c r="D132" s="6" t="n"/>
      <c r="E132" s="6" t="n"/>
      <c r="F132" s="6" t="n"/>
      <c r="G132" s="6" t="n"/>
    </row>
    <row r="133">
      <c r="A133" s="2" t="n">
        <v>130</v>
      </c>
      <c r="B133" s="5" t="n"/>
      <c r="C133" s="2" t="inlineStr">
        <is>
          <t>经营活动现金流入小计</t>
        </is>
      </c>
      <c r="D133" s="4">
        <f>SUM(D127,D128,D129,D130,D131,D132)</f>
        <v/>
      </c>
      <c r="E133" s="4">
        <f>SUM(E127,E128,E129,E130,E131,E132)</f>
        <v/>
      </c>
      <c r="F133" s="4">
        <f>SUM(F127,F128,F129,F130,F131,F132)</f>
        <v/>
      </c>
      <c r="G133" s="4">
        <f>SUM(G127,G128,G129,G130,G131,G132)</f>
        <v/>
      </c>
    </row>
    <row r="134">
      <c r="A134" s="2" t="n">
        <v>131</v>
      </c>
      <c r="B134" s="5" t="n"/>
      <c r="C134" s="2" t="inlineStr">
        <is>
          <t>购买商品、接受劳务支付的现金</t>
        </is>
      </c>
      <c r="D134" s="6" t="n"/>
      <c r="E134" s="6" t="n"/>
      <c r="F134" s="6" t="n"/>
      <c r="G134" s="6" t="n"/>
    </row>
    <row r="135">
      <c r="A135" s="2" t="n">
        <v>132</v>
      </c>
      <c r="B135" s="5" t="n"/>
      <c r="C135" s="2" t="inlineStr">
        <is>
          <t>客户贷款及垫款净增加额</t>
        </is>
      </c>
      <c r="D135" s="6" t="n"/>
      <c r="E135" s="6" t="n"/>
      <c r="F135" s="6" t="n"/>
      <c r="G135" s="6" t="n"/>
    </row>
    <row r="136">
      <c r="A136" s="2" t="n">
        <v>133</v>
      </c>
      <c r="B136" s="5" t="n"/>
      <c r="C136" s="2" t="inlineStr">
        <is>
          <t>存放中央银行和同业款项净增加额</t>
        </is>
      </c>
      <c r="D136" s="6" t="n"/>
      <c r="E136" s="6" t="n"/>
      <c r="F136" s="6" t="n"/>
      <c r="G136" s="6" t="n"/>
    </row>
    <row r="137">
      <c r="A137" s="2" t="n">
        <v>134</v>
      </c>
      <c r="B137" s="5" t="n"/>
      <c r="C137" s="2" t="inlineStr">
        <is>
          <t>支付利息、手续费及佣金的现金</t>
        </is>
      </c>
      <c r="D137" s="6" t="n"/>
      <c r="E137" s="6" t="n"/>
      <c r="F137" s="6" t="n"/>
      <c r="G137" s="6" t="n"/>
    </row>
    <row r="138">
      <c r="A138" s="2" t="n">
        <v>135</v>
      </c>
      <c r="B138" s="5" t="n"/>
      <c r="C138" s="2" t="inlineStr">
        <is>
          <t>支付给职工以及为职工支付的现金</t>
        </is>
      </c>
      <c r="D138" s="6" t="n"/>
      <c r="E138" s="6" t="n"/>
      <c r="F138" s="6" t="n"/>
      <c r="G138" s="6" t="n"/>
    </row>
    <row r="139">
      <c r="A139" s="2" t="n">
        <v>136</v>
      </c>
      <c r="B139" s="5" t="n"/>
      <c r="C139" s="2" t="inlineStr">
        <is>
          <t>支付的各项税费</t>
        </is>
      </c>
      <c r="D139" s="6" t="n"/>
      <c r="E139" s="6" t="n"/>
      <c r="F139" s="6" t="n"/>
      <c r="G139" s="6" t="n"/>
    </row>
    <row r="140">
      <c r="A140" s="2" t="n">
        <v>137</v>
      </c>
      <c r="B140" s="5" t="n"/>
      <c r="C140" s="2" t="inlineStr">
        <is>
          <t>支付其他与经营活动有关的现金</t>
        </is>
      </c>
      <c r="D140" s="6" t="n"/>
      <c r="E140" s="6" t="n"/>
      <c r="F140" s="6" t="n"/>
      <c r="G140" s="6" t="n"/>
    </row>
    <row r="141">
      <c r="A141" s="2" t="n">
        <v>138</v>
      </c>
      <c r="B141" s="5" t="n"/>
      <c r="C141" s="2" t="inlineStr">
        <is>
          <t>经营活动现金流出小计</t>
        </is>
      </c>
      <c r="D141" s="4">
        <f>SUM(D134,D135,D136,D137,D138,D139,D140)</f>
        <v/>
      </c>
      <c r="E141" s="4">
        <f>SUM(E134,E135,E136,E137,E138,E139,E140)</f>
        <v/>
      </c>
      <c r="F141" s="4">
        <f>SUM(F134,F135,F136,F137,F138,F139,F140)</f>
        <v/>
      </c>
      <c r="G141" s="4">
        <f>SUM(G134,G135,G136,G137,G138,G139,G140)</f>
        <v/>
      </c>
    </row>
    <row r="142">
      <c r="A142" s="2" t="n">
        <v>139</v>
      </c>
      <c r="B142" s="5" t="n"/>
      <c r="C142" s="2" t="inlineStr">
        <is>
          <t>经营活动产生的现金流量净额</t>
        </is>
      </c>
      <c r="D142" s="4">
        <f>D133-D141</f>
        <v/>
      </c>
      <c r="E142" s="4">
        <f>E133-E141</f>
        <v/>
      </c>
      <c r="F142" s="4">
        <f>F133-F141</f>
        <v/>
      </c>
      <c r="G142" s="4">
        <f>G133-G141</f>
        <v/>
      </c>
    </row>
    <row r="143">
      <c r="A143" s="2" t="n">
        <v>140</v>
      </c>
      <c r="B143" s="5" t="n"/>
      <c r="C143" s="2" t="inlineStr">
        <is>
          <t>投资活动产生的现金流量：</t>
        </is>
      </c>
      <c r="D143" s="6" t="n"/>
      <c r="E143" s="6" t="n"/>
      <c r="F143" s="6" t="n"/>
      <c r="G143" s="6" t="n"/>
    </row>
    <row r="144">
      <c r="A144" s="2" t="n">
        <v>141</v>
      </c>
      <c r="B144" s="5" t="n"/>
      <c r="C144" s="2" t="inlineStr">
        <is>
          <t>收回投资收到的现金</t>
        </is>
      </c>
      <c r="D144" s="6" t="n"/>
      <c r="E144" s="6" t="n"/>
      <c r="F144" s="6" t="n"/>
      <c r="G144" s="6" t="n"/>
    </row>
    <row r="145">
      <c r="A145" s="2" t="n">
        <v>142</v>
      </c>
      <c r="B145" s="5" t="n"/>
      <c r="C145" s="2" t="inlineStr">
        <is>
          <t>取得投资收益收到的现金</t>
        </is>
      </c>
      <c r="D145" s="6" t="n"/>
      <c r="E145" s="6" t="n"/>
      <c r="F145" s="6" t="n"/>
      <c r="G145" s="6" t="n"/>
    </row>
    <row r="146">
      <c r="A146" s="2" t="n">
        <v>143</v>
      </c>
      <c r="B146" s="5" t="n"/>
      <c r="C146" s="2" t="inlineStr">
        <is>
          <t>处置固定资产、无形资产和其他长期资产收回的现金净额</t>
        </is>
      </c>
      <c r="D146" s="6" t="n"/>
      <c r="E146" s="6" t="n"/>
      <c r="F146" s="6" t="n"/>
      <c r="G146" s="6" t="n"/>
    </row>
    <row r="147">
      <c r="A147" s="2" t="n">
        <v>144</v>
      </c>
      <c r="B147" s="5" t="n"/>
      <c r="C147" s="2" t="inlineStr">
        <is>
          <t>处置子公司及其他营业单位收到的现金净额</t>
        </is>
      </c>
      <c r="D147" s="6" t="n"/>
      <c r="E147" s="6" t="n"/>
      <c r="F147" s="6" t="n"/>
      <c r="G147" s="6" t="n"/>
    </row>
    <row r="148">
      <c r="A148" s="2" t="n">
        <v>145</v>
      </c>
      <c r="B148" s="5" t="n"/>
      <c r="C148" s="2" t="inlineStr">
        <is>
          <t>收到其他与投资活动有关的现金</t>
        </is>
      </c>
      <c r="D148" s="6" t="n"/>
      <c r="E148" s="6" t="n"/>
      <c r="F148" s="6" t="n"/>
      <c r="G148" s="6" t="n"/>
    </row>
    <row r="149">
      <c r="A149" s="2" t="n">
        <v>146</v>
      </c>
      <c r="B149" s="5" t="n"/>
      <c r="C149" s="2" t="inlineStr">
        <is>
          <t>投资活动现金流入小计</t>
        </is>
      </c>
      <c r="D149" s="4">
        <f>SUM(D144,D145,D146,D147,D148)</f>
        <v/>
      </c>
      <c r="E149" s="4">
        <f>SUM(E144,E145,E146,E147,E148)</f>
        <v/>
      </c>
      <c r="F149" s="4">
        <f>SUM(F144,F145,F146,F147,F148)</f>
        <v/>
      </c>
      <c r="G149" s="4">
        <f>SUM(G144,G145,G146,G147,G148)</f>
        <v/>
      </c>
    </row>
    <row r="150">
      <c r="A150" s="2" t="n">
        <v>147</v>
      </c>
      <c r="B150" s="5" t="n"/>
      <c r="C150" s="2" t="inlineStr">
        <is>
          <t>购建固定资产、无形资产和其他长期资产支付的现金</t>
        </is>
      </c>
      <c r="D150" s="6" t="n"/>
      <c r="E150" s="6" t="n"/>
      <c r="F150" s="6" t="n"/>
      <c r="G150" s="6" t="n"/>
    </row>
    <row r="151">
      <c r="A151" s="2" t="n">
        <v>148</v>
      </c>
      <c r="B151" s="5" t="n"/>
      <c r="C151" s="2" t="inlineStr">
        <is>
          <t>投资支付的现金</t>
        </is>
      </c>
      <c r="D151" s="6" t="n"/>
      <c r="E151" s="6" t="n"/>
      <c r="F151" s="6" t="n"/>
      <c r="G151" s="6" t="n"/>
    </row>
    <row r="152">
      <c r="A152" s="2" t="n">
        <v>149</v>
      </c>
      <c r="B152" s="5" t="n"/>
      <c r="C152" s="2" t="inlineStr">
        <is>
          <t>质押贷款净增加额</t>
        </is>
      </c>
      <c r="D152" s="6" t="n"/>
      <c r="E152" s="6" t="n"/>
      <c r="F152" s="6" t="n"/>
      <c r="G152" s="6" t="n"/>
    </row>
    <row r="153">
      <c r="A153" s="2" t="n">
        <v>150</v>
      </c>
      <c r="B153" s="5" t="n"/>
      <c r="C153" s="2" t="inlineStr">
        <is>
          <t>取得子公司及其他营业单位支付的现金净额</t>
        </is>
      </c>
      <c r="D153" s="6" t="n"/>
      <c r="E153" s="6" t="n"/>
      <c r="F153" s="6" t="n"/>
      <c r="G153" s="6" t="n"/>
    </row>
    <row r="154">
      <c r="A154" s="2" t="n">
        <v>151</v>
      </c>
      <c r="B154" s="5" t="n"/>
      <c r="C154" s="2" t="inlineStr">
        <is>
          <t>支付其他与投资活动有关的现金</t>
        </is>
      </c>
      <c r="D154" s="6" t="n"/>
      <c r="E154" s="6" t="n"/>
      <c r="F154" s="6" t="n"/>
      <c r="G154" s="6" t="n"/>
    </row>
    <row r="155">
      <c r="A155" s="2" t="n">
        <v>152</v>
      </c>
      <c r="B155" s="5" t="n"/>
      <c r="C155" s="2" t="inlineStr">
        <is>
          <t>投资活动现金流出小计</t>
        </is>
      </c>
      <c r="D155" s="4">
        <f>SUM(D150,D151,D152,D153,D154)</f>
        <v/>
      </c>
      <c r="E155" s="4">
        <f>SUM(E150,E151,E152,E153,E154)</f>
        <v/>
      </c>
      <c r="F155" s="4">
        <f>SUM(F150,F151,F152,F153,F154)</f>
        <v/>
      </c>
      <c r="G155" s="4">
        <f>SUM(G150,G151,G152,G153,G154)</f>
        <v/>
      </c>
    </row>
    <row r="156">
      <c r="A156" s="2" t="n">
        <v>153</v>
      </c>
      <c r="B156" s="5" t="n"/>
      <c r="C156" s="2" t="inlineStr">
        <is>
          <t>投资活动产生的现金流量净额</t>
        </is>
      </c>
      <c r="D156" s="4">
        <f>D149-D155</f>
        <v/>
      </c>
      <c r="E156" s="4">
        <f>E149-E155</f>
        <v/>
      </c>
      <c r="F156" s="4">
        <f>F149-F155</f>
        <v/>
      </c>
      <c r="G156" s="4">
        <f>G149-G155</f>
        <v/>
      </c>
    </row>
    <row r="157">
      <c r="A157" s="2" t="n">
        <v>154</v>
      </c>
      <c r="B157" s="5" t="n"/>
      <c r="C157" s="2" t="inlineStr">
        <is>
          <t>筹资活动产生的现金流量：</t>
        </is>
      </c>
      <c r="D157" s="6" t="n"/>
      <c r="E157" s="6" t="n"/>
      <c r="F157" s="6" t="n"/>
      <c r="G157" s="6" t="n"/>
    </row>
    <row r="158">
      <c r="A158" s="2" t="n">
        <v>155</v>
      </c>
      <c r="B158" s="5" t="n"/>
      <c r="C158" s="2" t="inlineStr">
        <is>
          <t>吸收投资收到的现金</t>
        </is>
      </c>
      <c r="D158" s="6" t="n"/>
      <c r="E158" s="6" t="n"/>
      <c r="F158" s="6" t="n"/>
      <c r="G158" s="6" t="n"/>
    </row>
    <row r="159">
      <c r="A159" s="2" t="n">
        <v>156</v>
      </c>
      <c r="B159" s="5" t="n"/>
      <c r="C159" s="2" t="inlineStr">
        <is>
          <t>其中：子公司吸收少数股东投资收到的现金</t>
        </is>
      </c>
      <c r="D159" s="6" t="n"/>
      <c r="E159" s="6" t="n"/>
      <c r="F159" s="6" t="n"/>
      <c r="G159" s="6" t="n"/>
    </row>
    <row r="160">
      <c r="A160" s="2" t="n">
        <v>157</v>
      </c>
      <c r="B160" s="5" t="n"/>
      <c r="C160" s="2" t="inlineStr">
        <is>
          <t>取得借款收到的现金</t>
        </is>
      </c>
      <c r="D160" s="6" t="n"/>
      <c r="E160" s="6" t="n"/>
      <c r="F160" s="6" t="n"/>
      <c r="G160" s="6" t="n"/>
    </row>
    <row r="161">
      <c r="A161" s="2" t="n">
        <v>158</v>
      </c>
      <c r="B161" s="5" t="n"/>
      <c r="C161" s="2" t="inlineStr">
        <is>
          <t>发行债券收到的现金</t>
        </is>
      </c>
      <c r="D161" s="6" t="n"/>
      <c r="E161" s="6" t="n"/>
      <c r="F161" s="6" t="n"/>
      <c r="G161" s="6" t="n"/>
    </row>
    <row r="162">
      <c r="A162" s="2" t="n">
        <v>159</v>
      </c>
      <c r="B162" s="5" t="n"/>
      <c r="C162" s="2" t="inlineStr">
        <is>
          <t>收到其他与筹资活动有关的现金</t>
        </is>
      </c>
      <c r="D162" s="6" t="n"/>
      <c r="E162" s="6" t="n"/>
      <c r="F162" s="6" t="n"/>
      <c r="G162" s="6" t="n"/>
    </row>
    <row r="163">
      <c r="A163" s="2" t="n">
        <v>160</v>
      </c>
      <c r="B163" s="5" t="n"/>
      <c r="C163" s="2" t="inlineStr">
        <is>
          <t>筹资活动现金流入小计</t>
        </is>
      </c>
      <c r="D163" s="4">
        <f>SUM(D158,D160,D161,D162)</f>
        <v/>
      </c>
      <c r="E163" s="4">
        <f>SUM(E158,E160,E161,E162)</f>
        <v/>
      </c>
      <c r="F163" s="4">
        <f>SUM(F158,F160,F161,F162)</f>
        <v/>
      </c>
      <c r="G163" s="4">
        <f>SUM(G158,G160,G161,G162)</f>
        <v/>
      </c>
    </row>
    <row r="164">
      <c r="A164" s="2" t="n">
        <v>161</v>
      </c>
      <c r="B164" s="5" t="n"/>
      <c r="C164" s="2" t="inlineStr">
        <is>
          <t>偿还债务支付的现金</t>
        </is>
      </c>
      <c r="D164" s="6" t="n"/>
      <c r="E164" s="6" t="n"/>
      <c r="F164" s="6" t="n"/>
      <c r="G164" s="6" t="n"/>
    </row>
    <row r="165">
      <c r="A165" s="2" t="n">
        <v>162</v>
      </c>
      <c r="B165" s="5" t="n"/>
      <c r="C165" s="2" t="inlineStr">
        <is>
          <t>分配股利、利润或偿付利息支付的现金</t>
        </is>
      </c>
      <c r="D165" s="6" t="n"/>
      <c r="E165" s="6" t="n"/>
      <c r="F165" s="6" t="n"/>
      <c r="G165" s="6" t="n"/>
    </row>
    <row r="166">
      <c r="A166" s="2" t="n">
        <v>163</v>
      </c>
      <c r="B166" s="5" t="n"/>
      <c r="C166" s="2" t="inlineStr">
        <is>
          <t>其中：子公司支付给少数股东的股利、利润</t>
        </is>
      </c>
      <c r="D166" s="6" t="n"/>
      <c r="E166" s="6" t="n"/>
      <c r="F166" s="6" t="n"/>
      <c r="G166" s="6" t="n"/>
    </row>
    <row r="167">
      <c r="A167" s="2" t="n">
        <v>164</v>
      </c>
      <c r="B167" s="5" t="n"/>
      <c r="C167" s="2" t="inlineStr">
        <is>
          <t>支付其他与筹资活动有关的现金</t>
        </is>
      </c>
      <c r="D167" s="6" t="n"/>
      <c r="E167" s="6" t="n"/>
      <c r="F167" s="6" t="n"/>
      <c r="G167" s="6" t="n"/>
    </row>
    <row r="168">
      <c r="A168" s="2" t="n">
        <v>165</v>
      </c>
      <c r="B168" s="5" t="n"/>
      <c r="C168" s="2" t="inlineStr">
        <is>
          <t>筹资活动现金流出小计</t>
        </is>
      </c>
      <c r="D168" s="4">
        <f>SUM(D164,D165,D167)</f>
        <v/>
      </c>
      <c r="E168" s="4">
        <f>SUM(E164,E165,E167)</f>
        <v/>
      </c>
      <c r="F168" s="4">
        <f>SUM(F164,F165,F167)</f>
        <v/>
      </c>
      <c r="G168" s="4">
        <f>SUM(G164,G165,G167)</f>
        <v/>
      </c>
    </row>
    <row r="169">
      <c r="A169" s="2" t="n">
        <v>166</v>
      </c>
      <c r="B169" s="5" t="n"/>
      <c r="C169" s="2" t="inlineStr">
        <is>
          <t>筹资活动产生的现金流量净额</t>
        </is>
      </c>
      <c r="D169" s="4">
        <f>D163-D168</f>
        <v/>
      </c>
      <c r="E169" s="4">
        <f>E163-E168</f>
        <v/>
      </c>
      <c r="F169" s="4">
        <f>F163-F168</f>
        <v/>
      </c>
      <c r="G169" s="4">
        <f>G163-G168</f>
        <v/>
      </c>
    </row>
    <row r="170">
      <c r="A170" s="2" t="n">
        <v>167</v>
      </c>
      <c r="B170" s="5" t="n"/>
      <c r="C170" s="2" t="inlineStr">
        <is>
          <t>汇率变动对现金及现金等价物的影响</t>
        </is>
      </c>
      <c r="D170" s="6" t="n"/>
      <c r="E170" s="6" t="n"/>
      <c r="F170" s="6" t="n"/>
      <c r="G170" s="6" t="n"/>
    </row>
    <row r="171">
      <c r="A171" s="2" t="n">
        <v>168</v>
      </c>
      <c r="B171" s="5" t="n"/>
      <c r="C171" s="2" t="inlineStr">
        <is>
          <t>现金及现金等价物净增加额</t>
        </is>
      </c>
      <c r="D171" s="4">
        <f>D142+D156+D169+D170</f>
        <v/>
      </c>
      <c r="E171" s="4">
        <f>E142+E156+E169+E170</f>
        <v/>
      </c>
      <c r="F171" s="4">
        <f>F142+F156+F169+F170</f>
        <v/>
      </c>
      <c r="G171" s="4">
        <f>G142+G156+G169+G170</f>
        <v/>
      </c>
    </row>
    <row r="172">
      <c r="A172" s="2" t="n">
        <v>169</v>
      </c>
      <c r="B172" s="5" t="n"/>
      <c r="C172" s="2" t="inlineStr">
        <is>
          <t>加：期初现金及现金等价物余额</t>
        </is>
      </c>
      <c r="D172" s="6" t="n"/>
      <c r="E172" s="6" t="n"/>
      <c r="F172" s="6" t="n"/>
      <c r="G172" s="6" t="n"/>
    </row>
    <row r="173">
      <c r="A173" s="2" t="n">
        <v>170</v>
      </c>
      <c r="B173" s="7" t="n"/>
      <c r="C173" s="2" t="inlineStr">
        <is>
          <t>期末现金及现金等价物余额</t>
        </is>
      </c>
      <c r="D173" s="4">
        <f>D171+D172</f>
        <v/>
      </c>
      <c r="E173" s="4">
        <f>E171+E172</f>
        <v/>
      </c>
      <c r="F173" s="4">
        <f>F171+F172</f>
        <v/>
      </c>
      <c r="G173" s="4">
        <f>G171+G172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B2:B91"/>
    <mergeCell ref="B126:B173"/>
    <mergeCell ref="B93:B1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4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序号</t>
        </is>
      </c>
      <c r="B1" s="1" t="inlineStr">
        <is>
          <t>报表分类</t>
        </is>
      </c>
      <c r="C1" s="1" t="inlineStr">
        <is>
          <t>标准会计科目</t>
        </is>
      </c>
      <c r="D1" s="1" t="inlineStr">
        <is>
          <t>2022年</t>
        </is>
      </c>
      <c r="E1" s="1" t="inlineStr">
        <is>
          <t>2023年</t>
        </is>
      </c>
      <c r="F1" s="1" t="inlineStr">
        <is>
          <t>2024年</t>
        </is>
      </c>
      <c r="G1" s="1" t="inlineStr">
        <is>
          <t>最新一期</t>
        </is>
      </c>
    </row>
    <row r="2">
      <c r="A2" s="2" t="n">
        <v>1</v>
      </c>
      <c r="B2" s="3" t="inlineStr">
        <is>
          <t>资产负债表</t>
        </is>
      </c>
      <c r="C2" s="2" t="inlineStr">
        <is>
          <t>流动资产合计</t>
        </is>
      </c>
      <c r="D2" s="4">
        <f>SUM(D3,D5,D6,D7,D8,D9,D10,D11,D12,D13,D14,D15,D16,D17,D18,D19,D20,D21,D22)</f>
        <v/>
      </c>
      <c r="E2" s="4">
        <f>SUM(E3,E5,E6,E7,E8,E9,E10,E11,E12,E13,E14,E15,E16,E17,E18,E19,E20,E21,E22)</f>
        <v/>
      </c>
      <c r="F2" s="4">
        <f>SUM(F3,F5,F6,F7,F8,F9,F10,F11,F12,F13,F14,F15,F16,F17,F18,F19,F20,F21,F22)</f>
        <v/>
      </c>
      <c r="G2" s="4">
        <f>SUM(G3,G5,G6,G7,G8,G9,G10,G11,G12,G13,G14,G15,G16,G17,G18,G19,G20,G21,G22)</f>
        <v/>
      </c>
    </row>
    <row r="3">
      <c r="A3" s="2" t="n">
        <v>2</v>
      </c>
      <c r="B3" s="5" t="n"/>
      <c r="C3" s="2" t="inlineStr">
        <is>
          <t>货币资金</t>
        </is>
      </c>
      <c r="D3" s="6" t="n"/>
      <c r="E3" s="6" t="n"/>
      <c r="F3" s="6" t="n"/>
      <c r="G3" s="6" t="n"/>
    </row>
    <row r="4">
      <c r="A4" s="2" t="n">
        <v>3</v>
      </c>
      <c r="B4" s="5" t="n"/>
      <c r="C4" s="2" t="inlineStr">
        <is>
          <t>其中：受限货币资金</t>
        </is>
      </c>
      <c r="D4" s="6" t="n"/>
      <c r="E4" s="6" t="n"/>
      <c r="F4" s="6" t="n"/>
      <c r="G4" s="6" t="n"/>
    </row>
    <row r="5">
      <c r="A5" s="2" t="n">
        <v>4</v>
      </c>
      <c r="B5" s="5" t="n"/>
      <c r="C5" s="2" t="inlineStr">
        <is>
          <t>结算备付金</t>
        </is>
      </c>
      <c r="D5" s="6" t="n"/>
      <c r="E5" s="6" t="n"/>
      <c r="F5" s="6" t="n"/>
      <c r="G5" s="6" t="n"/>
    </row>
    <row r="6">
      <c r="A6" s="2" t="n">
        <v>5</v>
      </c>
      <c r="B6" s="5" t="n"/>
      <c r="C6" s="2" t="inlineStr">
        <is>
          <t>拆出资金</t>
        </is>
      </c>
      <c r="D6" s="6" t="n"/>
      <c r="E6" s="6" t="n"/>
      <c r="F6" s="6" t="n"/>
      <c r="G6" s="6" t="n"/>
    </row>
    <row r="7">
      <c r="A7" s="2" t="n">
        <v>6</v>
      </c>
      <c r="B7" s="5" t="n"/>
      <c r="C7" s="2" t="inlineStr">
        <is>
          <t>交易性金融资产 / 短期投资</t>
        </is>
      </c>
      <c r="D7" s="6" t="n"/>
      <c r="E7" s="6" t="n"/>
      <c r="F7" s="6" t="n"/>
      <c r="G7" s="6" t="n"/>
    </row>
    <row r="8">
      <c r="A8" s="2" t="n">
        <v>7</v>
      </c>
      <c r="B8" s="5" t="n"/>
      <c r="C8" s="2" t="inlineStr">
        <is>
          <t>衍生金融资产</t>
        </is>
      </c>
      <c r="D8" s="6" t="n"/>
      <c r="E8" s="6" t="n"/>
      <c r="F8" s="6" t="n"/>
      <c r="G8" s="6" t="n"/>
    </row>
    <row r="9">
      <c r="A9" s="2" t="n">
        <v>8</v>
      </c>
      <c r="B9" s="5" t="n"/>
      <c r="C9" s="2" t="inlineStr">
        <is>
          <t>应收票据</t>
        </is>
      </c>
      <c r="D9" s="6" t="n"/>
      <c r="E9" s="6" t="n"/>
      <c r="F9" s="6" t="n"/>
      <c r="G9" s="6" t="n"/>
    </row>
    <row r="10">
      <c r="A10" s="2" t="n">
        <v>9</v>
      </c>
      <c r="B10" s="5" t="n"/>
      <c r="C10" s="2" t="inlineStr">
        <is>
          <t>应收账款</t>
        </is>
      </c>
      <c r="D10" s="6" t="n"/>
      <c r="E10" s="6" t="n"/>
      <c r="F10" s="6" t="n"/>
      <c r="G10" s="6" t="n"/>
    </row>
    <row r="11">
      <c r="A11" s="2" t="n">
        <v>10</v>
      </c>
      <c r="B11" s="5" t="n"/>
      <c r="C11" s="2" t="inlineStr">
        <is>
          <t>应收款项融资</t>
        </is>
      </c>
      <c r="D11" s="6" t="n"/>
      <c r="E11" s="6" t="n"/>
      <c r="F11" s="6" t="n"/>
      <c r="G11" s="6" t="n"/>
    </row>
    <row r="12">
      <c r="A12" s="2" t="n">
        <v>11</v>
      </c>
      <c r="B12" s="5" t="n"/>
      <c r="C12" s="2" t="inlineStr">
        <is>
          <t>预付款项</t>
        </is>
      </c>
      <c r="D12" s="6" t="n"/>
      <c r="E12" s="6" t="n"/>
      <c r="F12" s="6" t="n"/>
      <c r="G12" s="6" t="n"/>
    </row>
    <row r="13">
      <c r="A13" s="2" t="n">
        <v>12</v>
      </c>
      <c r="B13" s="5" t="n"/>
      <c r="C13" s="2" t="inlineStr">
        <is>
          <t>应收保费 / 应收分保账款</t>
        </is>
      </c>
      <c r="D13" s="6" t="n"/>
      <c r="E13" s="6" t="n"/>
      <c r="F13" s="6" t="n"/>
      <c r="G13" s="6" t="n"/>
    </row>
    <row r="14">
      <c r="A14" s="2" t="n">
        <v>13</v>
      </c>
      <c r="B14" s="5" t="n"/>
      <c r="C14" s="2" t="inlineStr">
        <is>
          <t>应收利息</t>
        </is>
      </c>
      <c r="D14" s="6" t="n"/>
      <c r="E14" s="6" t="n"/>
      <c r="F14" s="6" t="n"/>
      <c r="G14" s="6" t="n"/>
    </row>
    <row r="15">
      <c r="A15" s="2" t="n">
        <v>14</v>
      </c>
      <c r="B15" s="5" t="n"/>
      <c r="C15" s="2" t="inlineStr">
        <is>
          <t>应收股利</t>
        </is>
      </c>
      <c r="D15" s="6" t="n"/>
      <c r="E15" s="6" t="n"/>
      <c r="F15" s="6" t="n"/>
      <c r="G15" s="6" t="n"/>
    </row>
    <row r="16">
      <c r="A16" s="2" t="n">
        <v>15</v>
      </c>
      <c r="B16" s="5" t="n"/>
      <c r="C16" s="2" t="inlineStr">
        <is>
          <t>其他应收款</t>
        </is>
      </c>
      <c r="D16" s="6" t="n"/>
      <c r="E16" s="6" t="n"/>
      <c r="F16" s="6" t="n"/>
      <c r="G16" s="6" t="n"/>
    </row>
    <row r="17">
      <c r="A17" s="2" t="n">
        <v>16</v>
      </c>
      <c r="B17" s="5" t="n"/>
      <c r="C17" s="2" t="inlineStr">
        <is>
          <t>买入返售金融资产</t>
        </is>
      </c>
      <c r="D17" s="6" t="n"/>
      <c r="E17" s="6" t="n"/>
      <c r="F17" s="6" t="n"/>
      <c r="G17" s="6" t="n"/>
    </row>
    <row r="18">
      <c r="A18" s="2" t="n">
        <v>17</v>
      </c>
      <c r="B18" s="5" t="n"/>
      <c r="C18" s="2" t="inlineStr">
        <is>
          <t>存货</t>
        </is>
      </c>
      <c r="D18" s="6" t="n"/>
      <c r="E18" s="6" t="n"/>
      <c r="F18" s="6" t="n"/>
      <c r="G18" s="6" t="n"/>
    </row>
    <row r="19">
      <c r="A19" s="2" t="n">
        <v>18</v>
      </c>
      <c r="B19" s="5" t="n"/>
      <c r="C19" s="2" t="inlineStr">
        <is>
          <t>合同资产</t>
        </is>
      </c>
      <c r="D19" s="6" t="n"/>
      <c r="E19" s="6" t="n"/>
      <c r="F19" s="6" t="n"/>
      <c r="G19" s="6" t="n"/>
    </row>
    <row r="20">
      <c r="A20" s="2" t="n">
        <v>19</v>
      </c>
      <c r="B20" s="5" t="n"/>
      <c r="C20" s="2" t="inlineStr">
        <is>
          <t>持有待售资产</t>
        </is>
      </c>
      <c r="D20" s="6" t="n"/>
      <c r="E20" s="6" t="n"/>
      <c r="F20" s="6" t="n"/>
      <c r="G20" s="6" t="n"/>
    </row>
    <row r="21">
      <c r="A21" s="2" t="n">
        <v>20</v>
      </c>
      <c r="B21" s="5" t="n"/>
      <c r="C21" s="2" t="inlineStr">
        <is>
          <t>一年内到期的非流动资产</t>
        </is>
      </c>
      <c r="D21" s="6" t="n"/>
      <c r="E21" s="6" t="n"/>
      <c r="F21" s="6" t="n"/>
      <c r="G21" s="6" t="n"/>
    </row>
    <row r="22">
      <c r="A22" s="2" t="n">
        <v>21</v>
      </c>
      <c r="B22" s="5" t="n"/>
      <c r="C22" s="2" t="inlineStr">
        <is>
          <t>其他流动资产</t>
        </is>
      </c>
      <c r="D22" s="6" t="n"/>
      <c r="E22" s="6" t="n"/>
      <c r="F22" s="6" t="n"/>
      <c r="G22" s="6" t="n"/>
    </row>
    <row r="23">
      <c r="A23" s="2" t="n">
        <v>22</v>
      </c>
      <c r="B23" s="5" t="n"/>
      <c r="C23" s="2" t="inlineStr">
        <is>
          <t>非流动资产合计</t>
        </is>
      </c>
      <c r="D23" s="4">
        <f>SUM(D24,D25,D26,D27,D28,D29,D30,D31,D32,D34,D35,D36,D37,D38,D39,D40,D41,D42)</f>
        <v/>
      </c>
      <c r="E23" s="4">
        <f>SUM(E24,E25,E26,E27,E28,E29,E30,E31,E32,E34,E35,E36,E37,E38,E39,E40,E41,E42)</f>
        <v/>
      </c>
      <c r="F23" s="4">
        <f>SUM(F24,F25,F26,F27,F28,F29,F30,F31,F32,F34,F35,F36,F37,F38,F39,F40,F41,F42)</f>
        <v/>
      </c>
      <c r="G23" s="4">
        <f>SUM(G24,G25,G26,G27,G28,G29,G30,G31,G32,G34,G35,G36,G37,G38,G39,G40,G41,G42)</f>
        <v/>
      </c>
    </row>
    <row r="24">
      <c r="A24" s="2" t="n">
        <v>23</v>
      </c>
      <c r="B24" s="5" t="n"/>
      <c r="C24" s="2" t="inlineStr">
        <is>
          <t>发放贷款和垫款</t>
        </is>
      </c>
      <c r="D24" s="6" t="n"/>
      <c r="E24" s="6" t="n"/>
      <c r="F24" s="6" t="n"/>
      <c r="G24" s="6" t="n"/>
    </row>
    <row r="25">
      <c r="A25" s="2" t="n">
        <v>24</v>
      </c>
      <c r="B25" s="5" t="n"/>
      <c r="C25" s="2" t="inlineStr">
        <is>
          <t>债权投资 / 持有至到期投资</t>
        </is>
      </c>
      <c r="D25" s="6" t="n"/>
      <c r="E25" s="6" t="n"/>
      <c r="F25" s="6" t="n"/>
      <c r="G25" s="6" t="n"/>
    </row>
    <row r="26">
      <c r="A26" s="2" t="n">
        <v>25</v>
      </c>
      <c r="B26" s="5" t="n"/>
      <c r="C26" s="2" t="inlineStr">
        <is>
          <t>其他债权投资 / 可供出售金融资产</t>
        </is>
      </c>
      <c r="D26" s="6" t="n"/>
      <c r="E26" s="6" t="n"/>
      <c r="F26" s="6" t="n"/>
      <c r="G26" s="6" t="n"/>
    </row>
    <row r="27">
      <c r="A27" s="2" t="n">
        <v>26</v>
      </c>
      <c r="B27" s="5" t="n"/>
      <c r="C27" s="2" t="inlineStr">
        <is>
          <t>长期应收款</t>
        </is>
      </c>
      <c r="D27" s="6" t="n"/>
      <c r="E27" s="6" t="n"/>
      <c r="F27" s="6" t="n"/>
      <c r="G27" s="6" t="n"/>
    </row>
    <row r="28">
      <c r="A28" s="2" t="n">
        <v>27</v>
      </c>
      <c r="B28" s="5" t="n"/>
      <c r="C28" s="2" t="inlineStr">
        <is>
          <t>长期股权投资</t>
        </is>
      </c>
      <c r="D28" s="6" t="n"/>
      <c r="E28" s="6" t="n"/>
      <c r="F28" s="6" t="n"/>
      <c r="G28" s="6" t="n"/>
    </row>
    <row r="29">
      <c r="A29" s="2" t="n">
        <v>28</v>
      </c>
      <c r="B29" s="5" t="n"/>
      <c r="C29" s="2" t="inlineStr">
        <is>
          <t>其他权益工具投资</t>
        </is>
      </c>
      <c r="D29" s="6" t="n"/>
      <c r="E29" s="6" t="n"/>
      <c r="F29" s="6" t="n"/>
      <c r="G29" s="6" t="n"/>
    </row>
    <row r="30">
      <c r="A30" s="2" t="n">
        <v>29</v>
      </c>
      <c r="B30" s="5" t="n"/>
      <c r="C30" s="2" t="inlineStr">
        <is>
          <t>其他非流动金融资产</t>
        </is>
      </c>
      <c r="D30" s="6" t="n"/>
      <c r="E30" s="6" t="n"/>
      <c r="F30" s="6" t="n"/>
      <c r="G30" s="6" t="n"/>
    </row>
    <row r="31">
      <c r="A31" s="2" t="n">
        <v>30</v>
      </c>
      <c r="B31" s="5" t="n"/>
      <c r="C31" s="2" t="inlineStr">
        <is>
          <t>投资性房地产</t>
        </is>
      </c>
      <c r="D31" s="6" t="n"/>
      <c r="E31" s="6" t="n"/>
      <c r="F31" s="6" t="n"/>
      <c r="G31" s="6" t="n"/>
    </row>
    <row r="32">
      <c r="A32" s="2" t="n">
        <v>31</v>
      </c>
      <c r="B32" s="5" t="n"/>
      <c r="C32" s="2" t="inlineStr">
        <is>
          <t>固定资产</t>
        </is>
      </c>
      <c r="D32" s="6" t="n"/>
      <c r="E32" s="6" t="n"/>
      <c r="F32" s="6" t="n"/>
      <c r="G32" s="6" t="n"/>
    </row>
    <row r="33">
      <c r="A33" s="2" t="n">
        <v>32</v>
      </c>
      <c r="B33" s="5" t="n"/>
      <c r="C33" s="2" t="inlineStr">
        <is>
          <t>其中：固定资产清理</t>
        </is>
      </c>
      <c r="D33" s="6" t="n"/>
      <c r="E33" s="6" t="n"/>
      <c r="F33" s="6" t="n"/>
      <c r="G33" s="6" t="n"/>
    </row>
    <row r="34">
      <c r="A34" s="2" t="n">
        <v>33</v>
      </c>
      <c r="B34" s="5" t="n"/>
      <c r="C34" s="2" t="inlineStr">
        <is>
          <t>在建工程</t>
        </is>
      </c>
      <c r="D34" s="6" t="n"/>
      <c r="E34" s="6" t="n"/>
      <c r="F34" s="6" t="n"/>
      <c r="G34" s="6" t="n"/>
    </row>
    <row r="35">
      <c r="A35" s="2" t="n">
        <v>34</v>
      </c>
      <c r="B35" s="5" t="n"/>
      <c r="C35" s="2" t="inlineStr">
        <is>
          <t>生产性生物资产 / 油气资产</t>
        </is>
      </c>
      <c r="D35" s="6" t="n"/>
      <c r="E35" s="6" t="n"/>
      <c r="F35" s="6" t="n"/>
      <c r="G35" s="6" t="n"/>
    </row>
    <row r="36">
      <c r="A36" s="2" t="n">
        <v>35</v>
      </c>
      <c r="B36" s="5" t="n"/>
      <c r="C36" s="2" t="inlineStr">
        <is>
          <t>使用权资产</t>
        </is>
      </c>
      <c r="D36" s="6" t="n"/>
      <c r="E36" s="6" t="n"/>
      <c r="F36" s="6" t="n"/>
      <c r="G36" s="6" t="n"/>
    </row>
    <row r="37">
      <c r="A37" s="2" t="n">
        <v>36</v>
      </c>
      <c r="B37" s="5" t="n"/>
      <c r="C37" s="2" t="inlineStr">
        <is>
          <t>无形资产</t>
        </is>
      </c>
      <c r="D37" s="6" t="n"/>
      <c r="E37" s="6" t="n"/>
      <c r="F37" s="6" t="n"/>
      <c r="G37" s="6" t="n"/>
    </row>
    <row r="38">
      <c r="A38" s="2" t="n">
        <v>37</v>
      </c>
      <c r="B38" s="5" t="n"/>
      <c r="C38" s="2" t="inlineStr">
        <is>
          <t>开发支出</t>
        </is>
      </c>
      <c r="D38" s="6" t="n"/>
      <c r="E38" s="6" t="n"/>
      <c r="F38" s="6" t="n"/>
      <c r="G38" s="6" t="n"/>
    </row>
    <row r="39">
      <c r="A39" s="2" t="n">
        <v>38</v>
      </c>
      <c r="B39" s="5" t="n"/>
      <c r="C39" s="2" t="inlineStr">
        <is>
          <t>商誉</t>
        </is>
      </c>
      <c r="D39" s="6" t="n"/>
      <c r="E39" s="6" t="n"/>
      <c r="F39" s="6" t="n"/>
      <c r="G39" s="6" t="n"/>
    </row>
    <row r="40">
      <c r="A40" s="2" t="n">
        <v>39</v>
      </c>
      <c r="B40" s="5" t="n"/>
      <c r="C40" s="2" t="inlineStr">
        <is>
          <t>长期待摊费用</t>
        </is>
      </c>
      <c r="D40" s="6" t="n"/>
      <c r="E40" s="6" t="n"/>
      <c r="F40" s="6" t="n"/>
      <c r="G40" s="6" t="n"/>
    </row>
    <row r="41">
      <c r="A41" s="2" t="n">
        <v>40</v>
      </c>
      <c r="B41" s="5" t="n"/>
      <c r="C41" s="2" t="inlineStr">
        <is>
          <t>递延所得税资产</t>
        </is>
      </c>
      <c r="D41" s="6" t="n"/>
      <c r="E41" s="6" t="n"/>
      <c r="F41" s="6" t="n"/>
      <c r="G41" s="6" t="n"/>
    </row>
    <row r="42">
      <c r="A42" s="2" t="n">
        <v>41</v>
      </c>
      <c r="B42" s="5" t="n"/>
      <c r="C42" s="2" t="inlineStr">
        <is>
          <t>其他非流动资产</t>
        </is>
      </c>
      <c r="D42" s="6" t="n"/>
      <c r="E42" s="6" t="n"/>
      <c r="F42" s="6" t="n"/>
      <c r="G42" s="6" t="n"/>
    </row>
    <row r="43">
      <c r="A43" s="2" t="n">
        <v>42</v>
      </c>
      <c r="B43" s="5" t="n"/>
      <c r="C43" s="2" t="inlineStr">
        <is>
          <t>资产总计</t>
        </is>
      </c>
      <c r="D43" s="4">
        <f>D2+D23</f>
        <v/>
      </c>
      <c r="E43" s="4">
        <f>E2+E23</f>
        <v/>
      </c>
      <c r="F43" s="4">
        <f>F2+F23</f>
        <v/>
      </c>
      <c r="G43" s="4">
        <f>G2+G23</f>
        <v/>
      </c>
    </row>
    <row r="44">
      <c r="A44" s="2" t="n">
        <v>43</v>
      </c>
      <c r="B44" s="5" t="n"/>
      <c r="C44" s="2" t="inlineStr">
        <is>
          <t>流动负债合计</t>
        </is>
      </c>
      <c r="D44" s="4">
        <f>SUM(D45,D46,D47,D48,D49,D50,D51,D52,D53,D54,D55,D56,D57,D60,D61,D62)</f>
        <v/>
      </c>
      <c r="E44" s="4">
        <f>SUM(E45,E46,E47,E48,E49,E50,E51,E52,E53,E54,E55,E56,E57,E60,E61,E62)</f>
        <v/>
      </c>
      <c r="F44" s="4">
        <f>SUM(F45,F46,F47,F48,F49,F50,F51,F52,F53,F54,F55,F56,F57,F60,F61,F62)</f>
        <v/>
      </c>
      <c r="G44" s="4">
        <f>SUM(G45,G46,G47,G48,G49,G50,G51,G52,G53,G54,G55,G56,G57,G60,G61,G62)</f>
        <v/>
      </c>
    </row>
    <row r="45">
      <c r="A45" s="2" t="n">
        <v>44</v>
      </c>
      <c r="B45" s="5" t="n"/>
      <c r="C45" s="2" t="inlineStr">
        <is>
          <t>短期借款</t>
        </is>
      </c>
      <c r="D45" s="6" t="n"/>
      <c r="E45" s="6" t="n"/>
      <c r="F45" s="6" t="n"/>
      <c r="G45" s="6" t="n"/>
    </row>
    <row r="46">
      <c r="A46" s="2" t="n">
        <v>45</v>
      </c>
      <c r="B46" s="5" t="n"/>
      <c r="C46" s="2" t="inlineStr">
        <is>
          <t>向中央银行借款</t>
        </is>
      </c>
      <c r="D46" s="6" t="n"/>
      <c r="E46" s="6" t="n"/>
      <c r="F46" s="6" t="n"/>
      <c r="G46" s="6" t="n"/>
    </row>
    <row r="47">
      <c r="A47" s="2" t="n">
        <v>46</v>
      </c>
      <c r="B47" s="5" t="n"/>
      <c r="C47" s="2" t="inlineStr">
        <is>
          <t>拆入资金 / 吸收存款及同业存放</t>
        </is>
      </c>
      <c r="D47" s="6" t="n"/>
      <c r="E47" s="6" t="n"/>
      <c r="F47" s="6" t="n"/>
      <c r="G47" s="6" t="n"/>
    </row>
    <row r="48">
      <c r="A48" s="2" t="n">
        <v>47</v>
      </c>
      <c r="B48" s="5" t="n"/>
      <c r="C48" s="2" t="inlineStr">
        <is>
          <t>交易性金融负债</t>
        </is>
      </c>
      <c r="D48" s="6" t="n"/>
      <c r="E48" s="6" t="n"/>
      <c r="F48" s="6" t="n"/>
      <c r="G48" s="6" t="n"/>
    </row>
    <row r="49">
      <c r="A49" s="2" t="n">
        <v>48</v>
      </c>
      <c r="B49" s="5" t="n"/>
      <c r="C49" s="2" t="inlineStr">
        <is>
          <t>衍生金融负债</t>
        </is>
      </c>
      <c r="D49" s="6" t="n"/>
      <c r="E49" s="6" t="n"/>
      <c r="F49" s="6" t="n"/>
      <c r="G49" s="6" t="n"/>
    </row>
    <row r="50">
      <c r="A50" s="2" t="n">
        <v>49</v>
      </c>
      <c r="B50" s="5" t="n"/>
      <c r="C50" s="2" t="inlineStr">
        <is>
          <t>应付票据</t>
        </is>
      </c>
      <c r="D50" s="6" t="n"/>
      <c r="E50" s="6" t="n"/>
      <c r="F50" s="6" t="n"/>
      <c r="G50" s="6" t="n"/>
    </row>
    <row r="51">
      <c r="A51" s="2" t="n">
        <v>50</v>
      </c>
      <c r="B51" s="5" t="n"/>
      <c r="C51" s="2" t="inlineStr">
        <is>
          <t>应付账款</t>
        </is>
      </c>
      <c r="D51" s="6" t="n"/>
      <c r="E51" s="6" t="n"/>
      <c r="F51" s="6" t="n"/>
      <c r="G51" s="6" t="n"/>
    </row>
    <row r="52">
      <c r="A52" s="2" t="n">
        <v>51</v>
      </c>
      <c r="B52" s="5" t="n"/>
      <c r="C52" s="2" t="inlineStr">
        <is>
          <t>预收款项</t>
        </is>
      </c>
      <c r="D52" s="6" t="n"/>
      <c r="E52" s="6" t="n"/>
      <c r="F52" s="6" t="n"/>
      <c r="G52" s="6" t="n"/>
    </row>
    <row r="53">
      <c r="A53" s="2" t="n">
        <v>52</v>
      </c>
      <c r="B53" s="5" t="n"/>
      <c r="C53" s="2" t="inlineStr">
        <is>
          <t>合同负债</t>
        </is>
      </c>
      <c r="D53" s="6" t="n"/>
      <c r="E53" s="6" t="n"/>
      <c r="F53" s="6" t="n"/>
      <c r="G53" s="6" t="n"/>
    </row>
    <row r="54">
      <c r="A54" s="2" t="n">
        <v>53</v>
      </c>
      <c r="B54" s="5" t="n"/>
      <c r="C54" s="2" t="inlineStr">
        <is>
          <t>卖出回购金融资产款</t>
        </is>
      </c>
      <c r="D54" s="6" t="n"/>
      <c r="E54" s="6" t="n"/>
      <c r="F54" s="6" t="n"/>
      <c r="G54" s="6" t="n"/>
    </row>
    <row r="55">
      <c r="A55" s="2" t="n">
        <v>54</v>
      </c>
      <c r="B55" s="5" t="n"/>
      <c r="C55" s="2" t="inlineStr">
        <is>
          <t>应付职工薪酬</t>
        </is>
      </c>
      <c r="D55" s="6" t="n"/>
      <c r="E55" s="6" t="n"/>
      <c r="F55" s="6" t="n"/>
      <c r="G55" s="6" t="n"/>
    </row>
    <row r="56">
      <c r="A56" s="2" t="n">
        <v>55</v>
      </c>
      <c r="B56" s="5" t="n"/>
      <c r="C56" s="2" t="inlineStr">
        <is>
          <t>应交税费</t>
        </is>
      </c>
      <c r="D56" s="6" t="n"/>
      <c r="E56" s="6" t="n"/>
      <c r="F56" s="6" t="n"/>
      <c r="G56" s="6" t="n"/>
    </row>
    <row r="57">
      <c r="A57" s="2" t="n">
        <v>56</v>
      </c>
      <c r="B57" s="5" t="n"/>
      <c r="C57" s="2" t="inlineStr">
        <is>
          <t>其他应付款</t>
        </is>
      </c>
      <c r="D57" s="6" t="n"/>
      <c r="E57" s="6" t="n"/>
      <c r="F57" s="6" t="n"/>
      <c r="G57" s="6" t="n"/>
    </row>
    <row r="58">
      <c r="A58" s="2" t="n">
        <v>57</v>
      </c>
      <c r="B58" s="5" t="n"/>
      <c r="C58" s="2" t="inlineStr">
        <is>
          <t>其中：应付利息</t>
        </is>
      </c>
      <c r="D58" s="6" t="n"/>
      <c r="E58" s="6" t="n"/>
      <c r="F58" s="6" t="n"/>
      <c r="G58" s="6" t="n"/>
    </row>
    <row r="59">
      <c r="A59" s="2" t="n">
        <v>58</v>
      </c>
      <c r="B59" s="5" t="n"/>
      <c r="C59" s="2" t="inlineStr">
        <is>
          <t>其中：应付股利</t>
        </is>
      </c>
      <c r="D59" s="6" t="n"/>
      <c r="E59" s="6" t="n"/>
      <c r="F59" s="6" t="n"/>
      <c r="G59" s="6" t="n"/>
    </row>
    <row r="60">
      <c r="A60" s="2" t="n">
        <v>59</v>
      </c>
      <c r="B60" s="5" t="n"/>
      <c r="C60" s="2" t="inlineStr">
        <is>
          <t>持有待售负债</t>
        </is>
      </c>
      <c r="D60" s="6" t="n"/>
      <c r="E60" s="6" t="n"/>
      <c r="F60" s="6" t="n"/>
      <c r="G60" s="6" t="n"/>
    </row>
    <row r="61">
      <c r="A61" s="2" t="n">
        <v>60</v>
      </c>
      <c r="B61" s="5" t="n"/>
      <c r="C61" s="2" t="inlineStr">
        <is>
          <t>一年内到期的非流动负债</t>
        </is>
      </c>
      <c r="D61" s="6" t="n"/>
      <c r="E61" s="6" t="n"/>
      <c r="F61" s="6" t="n"/>
      <c r="G61" s="6" t="n"/>
    </row>
    <row r="62">
      <c r="A62" s="2" t="n">
        <v>61</v>
      </c>
      <c r="B62" s="5" t="n"/>
      <c r="C62" s="2" t="inlineStr">
        <is>
          <t>其他流动负债</t>
        </is>
      </c>
      <c r="D62" s="6" t="n"/>
      <c r="E62" s="6" t="n"/>
      <c r="F62" s="6" t="n"/>
      <c r="G62" s="6" t="n"/>
    </row>
    <row r="63">
      <c r="A63" s="2" t="n">
        <v>62</v>
      </c>
      <c r="B63" s="5" t="n"/>
      <c r="C63" s="2" t="inlineStr">
        <is>
          <t>非流动负债合计</t>
        </is>
      </c>
      <c r="D63" s="4">
        <f>SUM(D64,D65,D68,D69,D70,D71,D72,D73,D74)</f>
        <v/>
      </c>
      <c r="E63" s="4">
        <f>SUM(E64,E65,E68,E69,E70,E71,E72,E73,E74)</f>
        <v/>
      </c>
      <c r="F63" s="4">
        <f>SUM(F64,F65,F68,F69,F70,F71,F72,F73,F74)</f>
        <v/>
      </c>
      <c r="G63" s="4">
        <f>SUM(G64,G65,G68,G69,G70,G71,G72,G73,G74)</f>
        <v/>
      </c>
    </row>
    <row r="64">
      <c r="A64" s="2" t="n">
        <v>63</v>
      </c>
      <c r="B64" s="5" t="n"/>
      <c r="C64" s="2" t="inlineStr">
        <is>
          <t>长期借款</t>
        </is>
      </c>
      <c r="D64" s="6" t="n"/>
      <c r="E64" s="6" t="n"/>
      <c r="F64" s="6" t="n"/>
      <c r="G64" s="6" t="n"/>
    </row>
    <row r="65">
      <c r="A65" s="2" t="n">
        <v>64</v>
      </c>
      <c r="B65" s="5" t="n"/>
      <c r="C65" s="2" t="inlineStr">
        <is>
          <t>应付债券</t>
        </is>
      </c>
      <c r="D65" s="6" t="n"/>
      <c r="E65" s="6" t="n"/>
      <c r="F65" s="6" t="n"/>
      <c r="G65" s="6" t="n"/>
    </row>
    <row r="66">
      <c r="A66" s="2" t="n">
        <v>65</v>
      </c>
      <c r="B66" s="5" t="n"/>
      <c r="C66" s="2" t="inlineStr">
        <is>
          <t>其中：优先股</t>
        </is>
      </c>
      <c r="D66" s="6" t="n"/>
      <c r="E66" s="6" t="n"/>
      <c r="F66" s="6" t="n"/>
      <c r="G66" s="6" t="n"/>
    </row>
    <row r="67">
      <c r="A67" s="2" t="n">
        <v>66</v>
      </c>
      <c r="B67" s="5" t="n"/>
      <c r="C67" s="2" t="inlineStr">
        <is>
          <t>其中：永续债</t>
        </is>
      </c>
      <c r="D67" s="6" t="n"/>
      <c r="E67" s="6" t="n"/>
      <c r="F67" s="6" t="n"/>
      <c r="G67" s="6" t="n"/>
    </row>
    <row r="68">
      <c r="A68" s="2" t="n">
        <v>67</v>
      </c>
      <c r="B68" s="5" t="n"/>
      <c r="C68" s="2" t="inlineStr">
        <is>
          <t>租赁负债</t>
        </is>
      </c>
      <c r="D68" s="6" t="n"/>
      <c r="E68" s="6" t="n"/>
      <c r="F68" s="6" t="n"/>
      <c r="G68" s="6" t="n"/>
    </row>
    <row r="69">
      <c r="A69" s="2" t="n">
        <v>68</v>
      </c>
      <c r="B69" s="5" t="n"/>
      <c r="C69" s="2" t="inlineStr">
        <is>
          <t>长期应付款</t>
        </is>
      </c>
      <c r="D69" s="6" t="n"/>
      <c r="E69" s="6" t="n"/>
      <c r="F69" s="6" t="n"/>
      <c r="G69" s="6" t="n"/>
    </row>
    <row r="70">
      <c r="A70" s="2" t="n">
        <v>69</v>
      </c>
      <c r="B70" s="5" t="n"/>
      <c r="C70" s="2" t="inlineStr">
        <is>
          <t>长期应付职工薪酬</t>
        </is>
      </c>
      <c r="D70" s="6" t="n"/>
      <c r="E70" s="6" t="n"/>
      <c r="F70" s="6" t="n"/>
      <c r="G70" s="6" t="n"/>
    </row>
    <row r="71">
      <c r="A71" s="2" t="n">
        <v>70</v>
      </c>
      <c r="B71" s="5" t="n"/>
      <c r="C71" s="2" t="inlineStr">
        <is>
          <t>预计负债</t>
        </is>
      </c>
      <c r="D71" s="6" t="n"/>
      <c r="E71" s="6" t="n"/>
      <c r="F71" s="6" t="n"/>
      <c r="G71" s="6" t="n"/>
    </row>
    <row r="72">
      <c r="A72" s="2" t="n">
        <v>71</v>
      </c>
      <c r="B72" s="5" t="n"/>
      <c r="C72" s="2" t="inlineStr">
        <is>
          <t>递延收益</t>
        </is>
      </c>
      <c r="D72" s="6" t="n"/>
      <c r="E72" s="6" t="n"/>
      <c r="F72" s="6" t="n"/>
      <c r="G72" s="6" t="n"/>
    </row>
    <row r="73">
      <c r="A73" s="2" t="n">
        <v>72</v>
      </c>
      <c r="B73" s="5" t="n"/>
      <c r="C73" s="2" t="inlineStr">
        <is>
          <t>递延所得税负债</t>
        </is>
      </c>
      <c r="D73" s="6" t="n"/>
      <c r="E73" s="6" t="n"/>
      <c r="F73" s="6" t="n"/>
      <c r="G73" s="6" t="n"/>
    </row>
    <row r="74">
      <c r="A74" s="2" t="n">
        <v>73</v>
      </c>
      <c r="B74" s="5" t="n"/>
      <c r="C74" s="2" t="inlineStr">
        <is>
          <t>其他非流动负债</t>
        </is>
      </c>
      <c r="D74" s="6" t="n"/>
      <c r="E74" s="6" t="n"/>
      <c r="F74" s="6" t="n"/>
      <c r="G74" s="6" t="n"/>
    </row>
    <row r="75">
      <c r="A75" s="2" t="n">
        <v>74</v>
      </c>
      <c r="B75" s="5" t="n"/>
      <c r="C75" s="2" t="inlineStr">
        <is>
          <t>负债合计</t>
        </is>
      </c>
      <c r="D75" s="4">
        <f>D44+D63</f>
        <v/>
      </c>
      <c r="E75" s="4">
        <f>E44+E63</f>
        <v/>
      </c>
      <c r="F75" s="4">
        <f>F44+F63</f>
        <v/>
      </c>
      <c r="G75" s="4">
        <f>G44+G63</f>
        <v/>
      </c>
    </row>
    <row r="76">
      <c r="A76" s="2" t="n">
        <v>75</v>
      </c>
      <c r="B76" s="5" t="n"/>
      <c r="C76" s="2" t="inlineStr">
        <is>
          <t>所有者权益合计</t>
        </is>
      </c>
      <c r="D76" s="4">
        <f>D88+D89</f>
        <v/>
      </c>
      <c r="E76" s="4">
        <f>E88+E89</f>
        <v/>
      </c>
      <c r="F76" s="4">
        <f>F88+F89</f>
        <v/>
      </c>
      <c r="G76" s="4">
        <f>G88+G89</f>
        <v/>
      </c>
    </row>
    <row r="77">
      <c r="A77" s="2" t="n">
        <v>76</v>
      </c>
      <c r="B77" s="5" t="n"/>
      <c r="C77" s="2" t="inlineStr">
        <is>
          <t>实收资本 (或股本)</t>
        </is>
      </c>
      <c r="D77" s="6" t="n"/>
      <c r="E77" s="6" t="n"/>
      <c r="F77" s="6" t="n"/>
      <c r="G77" s="6" t="n"/>
    </row>
    <row r="78">
      <c r="A78" s="2" t="n">
        <v>77</v>
      </c>
      <c r="B78" s="5" t="n"/>
      <c r="C78" s="2" t="inlineStr">
        <is>
          <t>其他权益工具</t>
        </is>
      </c>
      <c r="D78" s="6" t="n"/>
      <c r="E78" s="6" t="n"/>
      <c r="F78" s="6" t="n"/>
      <c r="G78" s="6" t="n"/>
    </row>
    <row r="79">
      <c r="A79" s="2" t="n">
        <v>78</v>
      </c>
      <c r="B79" s="5" t="n"/>
      <c r="C79" s="2" t="inlineStr">
        <is>
          <t>其中：优先股 (权益类)</t>
        </is>
      </c>
      <c r="D79" s="6" t="n"/>
      <c r="E79" s="6" t="n"/>
      <c r="F79" s="6" t="n"/>
      <c r="G79" s="6" t="n"/>
    </row>
    <row r="80">
      <c r="A80" s="2" t="n">
        <v>79</v>
      </c>
      <c r="B80" s="5" t="n"/>
      <c r="C80" s="2" t="inlineStr">
        <is>
          <t>其中：永续债 (权益类)</t>
        </is>
      </c>
      <c r="D80" s="6" t="n"/>
      <c r="E80" s="6" t="n"/>
      <c r="F80" s="6" t="n"/>
      <c r="G80" s="6" t="n"/>
    </row>
    <row r="81">
      <c r="A81" s="2" t="n">
        <v>80</v>
      </c>
      <c r="B81" s="5" t="n"/>
      <c r="C81" s="2" t="inlineStr">
        <is>
          <t>资本公积</t>
        </is>
      </c>
      <c r="D81" s="6" t="n"/>
      <c r="E81" s="6" t="n"/>
      <c r="F81" s="6" t="n"/>
      <c r="G81" s="6" t="n"/>
    </row>
    <row r="82">
      <c r="A82" s="2" t="n">
        <v>81</v>
      </c>
      <c r="B82" s="5" t="n"/>
      <c r="C82" s="2" t="inlineStr">
        <is>
          <t>减：库存股</t>
        </is>
      </c>
      <c r="D82" s="6" t="n"/>
      <c r="E82" s="6" t="n"/>
      <c r="F82" s="6" t="n"/>
      <c r="G82" s="6" t="n"/>
    </row>
    <row r="83">
      <c r="A83" s="2" t="n">
        <v>82</v>
      </c>
      <c r="B83" s="5" t="n"/>
      <c r="C83" s="2" t="inlineStr">
        <is>
          <t>其他综合收益</t>
        </is>
      </c>
      <c r="D83" s="6" t="n"/>
      <c r="E83" s="6" t="n"/>
      <c r="F83" s="6" t="n"/>
      <c r="G83" s="6" t="n"/>
    </row>
    <row r="84">
      <c r="A84" s="2" t="n">
        <v>83</v>
      </c>
      <c r="B84" s="5" t="n"/>
      <c r="C84" s="2" t="inlineStr">
        <is>
          <t>专项储备</t>
        </is>
      </c>
      <c r="D84" s="6" t="n"/>
      <c r="E84" s="6" t="n"/>
      <c r="F84" s="6" t="n"/>
      <c r="G84" s="6" t="n"/>
    </row>
    <row r="85">
      <c r="A85" s="2" t="n">
        <v>84</v>
      </c>
      <c r="B85" s="5" t="n"/>
      <c r="C85" s="2" t="inlineStr">
        <is>
          <t>盈余公积</t>
        </is>
      </c>
      <c r="D85" s="6" t="n"/>
      <c r="E85" s="6" t="n"/>
      <c r="F85" s="6" t="n"/>
      <c r="G85" s="6" t="n"/>
    </row>
    <row r="86">
      <c r="A86" s="2" t="n">
        <v>85</v>
      </c>
      <c r="B86" s="5" t="n"/>
      <c r="C86" s="2" t="inlineStr">
        <is>
          <t>一般风险准备</t>
        </is>
      </c>
      <c r="D86" s="6" t="n"/>
      <c r="E86" s="6" t="n"/>
      <c r="F86" s="6" t="n"/>
      <c r="G86" s="6" t="n"/>
    </row>
    <row r="87">
      <c r="A87" s="2" t="n">
        <v>86</v>
      </c>
      <c r="B87" s="5" t="n"/>
      <c r="C87" s="2" t="inlineStr">
        <is>
          <t>未分配利润</t>
        </is>
      </c>
      <c r="D87" s="6" t="n"/>
      <c r="E87" s="6" t="n"/>
      <c r="F87" s="6" t="n"/>
      <c r="G87" s="6" t="n"/>
    </row>
    <row r="88">
      <c r="A88" s="2" t="n">
        <v>87</v>
      </c>
      <c r="B88" s="5" t="n"/>
      <c r="C88" s="2" t="inlineStr">
        <is>
          <t>归属于母公司所有者权益合计</t>
        </is>
      </c>
      <c r="D88" s="4">
        <f>SUM(D77,D78,D81,D83,D84,D85,D86,D87)-SUM(D82)</f>
        <v/>
      </c>
      <c r="E88" s="4">
        <f>SUM(E77,E78,E81,E83,E84,E85,E86,E87)-SUM(E82)</f>
        <v/>
      </c>
      <c r="F88" s="4">
        <f>SUM(F77,F78,F81,F83,F84,F85,F86,F87)-SUM(F82)</f>
        <v/>
      </c>
      <c r="G88" s="4">
        <f>SUM(G77,G78,G81,G83,G84,G85,G86,G87)-SUM(G82)</f>
        <v/>
      </c>
    </row>
    <row r="89">
      <c r="A89" s="2" t="n">
        <v>88</v>
      </c>
      <c r="B89" s="5" t="n"/>
      <c r="C89" s="2" t="inlineStr">
        <is>
          <t>少数股东权益</t>
        </is>
      </c>
      <c r="D89" s="6" t="n"/>
      <c r="E89" s="6" t="n"/>
      <c r="F89" s="6" t="n"/>
      <c r="G89" s="6" t="n"/>
    </row>
    <row r="90">
      <c r="A90" s="2" t="n">
        <v>89</v>
      </c>
      <c r="B90" s="5" t="n"/>
      <c r="C90" s="2" t="inlineStr">
        <is>
          <t>负债和所有者权益总计</t>
        </is>
      </c>
      <c r="D90" s="4">
        <f>D75+D76</f>
        <v/>
      </c>
      <c r="E90" s="4">
        <f>E75+E76</f>
        <v/>
      </c>
      <c r="F90" s="4">
        <f>F75+F76</f>
        <v/>
      </c>
      <c r="G90" s="4">
        <f>G75+G76</f>
        <v/>
      </c>
    </row>
    <row r="91">
      <c r="A91" s="2" t="n">
        <v>90</v>
      </c>
      <c r="B91" s="7" t="n"/>
      <c r="C91" s="2" t="inlineStr">
        <is>
          <t>【配平检查】资产 - (负债+权益)</t>
        </is>
      </c>
      <c r="D91" s="8">
        <f>D43-D90</f>
        <v/>
      </c>
      <c r="E91" s="8">
        <f>E43-E90</f>
        <v/>
      </c>
      <c r="F91" s="8">
        <f>F43-F90</f>
        <v/>
      </c>
      <c r="G91" s="8">
        <f>G43-G90</f>
        <v/>
      </c>
    </row>
    <row r="92">
      <c r="A92" s="2" t="inlineStr"/>
      <c r="B92" s="3" t="inlineStr"/>
      <c r="C92" s="2" t="inlineStr"/>
      <c r="D92" s="9" t="n"/>
      <c r="E92" s="9" t="n"/>
      <c r="F92" s="9" t="n"/>
      <c r="G92" s="9" t="n"/>
    </row>
    <row r="93">
      <c r="A93" s="2" t="n">
        <v>91</v>
      </c>
      <c r="B93" s="3" t="inlineStr">
        <is>
          <t>利润表</t>
        </is>
      </c>
      <c r="C93" s="2" t="inlineStr">
        <is>
          <t>营业总收入</t>
        </is>
      </c>
      <c r="D93" s="6" t="n"/>
      <c r="E93" s="6" t="n"/>
      <c r="F93" s="6" t="n"/>
      <c r="G93" s="6" t="n"/>
    </row>
    <row r="94">
      <c r="A94" s="2" t="n">
        <v>92</v>
      </c>
      <c r="B94" s="5" t="n"/>
      <c r="C94" s="2" t="inlineStr">
        <is>
          <t>营业收入</t>
        </is>
      </c>
      <c r="D94" s="6" t="n"/>
      <c r="E94" s="6" t="n"/>
      <c r="F94" s="6" t="n"/>
      <c r="G94" s="6" t="n"/>
    </row>
    <row r="95">
      <c r="A95" s="2" t="n">
        <v>93</v>
      </c>
      <c r="B95" s="5" t="n"/>
      <c r="C95" s="2" t="inlineStr">
        <is>
          <t>利息收入 / 手续费及佣金收入</t>
        </is>
      </c>
      <c r="D95" s="6" t="n"/>
      <c r="E95" s="6" t="n"/>
      <c r="F95" s="6" t="n"/>
      <c r="G95" s="6" t="n"/>
    </row>
    <row r="96">
      <c r="A96" s="2" t="n">
        <v>94</v>
      </c>
      <c r="B96" s="5" t="n"/>
      <c r="C96" s="2" t="inlineStr">
        <is>
          <t>营业总成本</t>
        </is>
      </c>
      <c r="D96" s="6" t="n"/>
      <c r="E96" s="6" t="n"/>
      <c r="F96" s="6" t="n"/>
      <c r="G96" s="6" t="n"/>
    </row>
    <row r="97">
      <c r="A97" s="2" t="n">
        <v>95</v>
      </c>
      <c r="B97" s="5" t="n"/>
      <c r="C97" s="2" t="inlineStr">
        <is>
          <t>营业成本</t>
        </is>
      </c>
      <c r="D97" s="6" t="n"/>
      <c r="E97" s="6" t="n"/>
      <c r="F97" s="6" t="n"/>
      <c r="G97" s="6" t="n"/>
    </row>
    <row r="98">
      <c r="A98" s="2" t="n">
        <v>96</v>
      </c>
      <c r="B98" s="5" t="n"/>
      <c r="C98" s="2" t="inlineStr">
        <is>
          <t>利息支出 / 手续费及佣金支出</t>
        </is>
      </c>
      <c r="D98" s="6" t="n"/>
      <c r="E98" s="6" t="n"/>
      <c r="F98" s="6" t="n"/>
      <c r="G98" s="6" t="n"/>
    </row>
    <row r="99">
      <c r="A99" s="2" t="n">
        <v>97</v>
      </c>
      <c r="B99" s="5" t="n"/>
      <c r="C99" s="2" t="inlineStr">
        <is>
          <t>税金及附加</t>
        </is>
      </c>
      <c r="D99" s="6" t="n"/>
      <c r="E99" s="6" t="n"/>
      <c r="F99" s="6" t="n"/>
      <c r="G99" s="6" t="n"/>
    </row>
    <row r="100">
      <c r="A100" s="2" t="n">
        <v>98</v>
      </c>
      <c r="B100" s="5" t="n"/>
      <c r="C100" s="2" t="inlineStr">
        <is>
          <t>销售费用</t>
        </is>
      </c>
      <c r="D100" s="6" t="n"/>
      <c r="E100" s="6" t="n"/>
      <c r="F100" s="6" t="n"/>
      <c r="G100" s="6" t="n"/>
    </row>
    <row r="101">
      <c r="A101" s="2" t="n">
        <v>99</v>
      </c>
      <c r="B101" s="5" t="n"/>
      <c r="C101" s="2" t="inlineStr">
        <is>
          <t>管理费用</t>
        </is>
      </c>
      <c r="D101" s="6" t="n"/>
      <c r="E101" s="6" t="n"/>
      <c r="F101" s="6" t="n"/>
      <c r="G101" s="6" t="n"/>
    </row>
    <row r="102">
      <c r="A102" s="2" t="n">
        <v>100</v>
      </c>
      <c r="B102" s="5" t="n"/>
      <c r="C102" s="2" t="inlineStr">
        <is>
          <t>研发费用</t>
        </is>
      </c>
      <c r="D102" s="6" t="n"/>
      <c r="E102" s="6" t="n"/>
      <c r="F102" s="6" t="n"/>
      <c r="G102" s="6" t="n"/>
    </row>
    <row r="103">
      <c r="A103" s="2" t="n">
        <v>101</v>
      </c>
      <c r="B103" s="5" t="n"/>
      <c r="C103" s="2" t="inlineStr">
        <is>
          <t>财务费用</t>
        </is>
      </c>
      <c r="D103" s="6" t="n"/>
      <c r="E103" s="6" t="n"/>
      <c r="F103" s="6" t="n"/>
      <c r="G103" s="6" t="n"/>
    </row>
    <row r="104">
      <c r="A104" s="2" t="n">
        <v>102</v>
      </c>
      <c r="B104" s="5" t="n"/>
      <c r="C104" s="2" t="inlineStr">
        <is>
          <t>其中：利息费用</t>
        </is>
      </c>
      <c r="D104" s="6" t="n"/>
      <c r="E104" s="6" t="n"/>
      <c r="F104" s="6" t="n"/>
      <c r="G104" s="6" t="n"/>
    </row>
    <row r="105">
      <c r="A105" s="2" t="n">
        <v>103</v>
      </c>
      <c r="B105" s="5" t="n"/>
      <c r="C105" s="2" t="inlineStr">
        <is>
          <t>其中：利息收入</t>
        </is>
      </c>
      <c r="D105" s="6" t="n"/>
      <c r="E105" s="6" t="n"/>
      <c r="F105" s="6" t="n"/>
      <c r="G105" s="6" t="n"/>
    </row>
    <row r="106">
      <c r="A106" s="2" t="n">
        <v>104</v>
      </c>
      <c r="B106" s="5" t="n"/>
      <c r="C106" s="2" t="inlineStr">
        <is>
          <t>加：其他收益</t>
        </is>
      </c>
      <c r="D106" s="6" t="n"/>
      <c r="E106" s="6" t="n"/>
      <c r="F106" s="6" t="n"/>
      <c r="G106" s="6" t="n"/>
    </row>
    <row r="107">
      <c r="A107" s="2" t="n">
        <v>105</v>
      </c>
      <c r="B107" s="5" t="n"/>
      <c r="C107" s="2" t="inlineStr">
        <is>
          <t>投资收益</t>
        </is>
      </c>
      <c r="D107" s="6" t="n"/>
      <c r="E107" s="6" t="n"/>
      <c r="F107" s="6" t="n"/>
      <c r="G107" s="6" t="n"/>
    </row>
    <row r="108">
      <c r="A108" s="2" t="n">
        <v>106</v>
      </c>
      <c r="B108" s="5" t="n"/>
      <c r="C108" s="2" t="inlineStr">
        <is>
          <t>其中：对联营企业和合营企业的投资收益</t>
        </is>
      </c>
      <c r="D108" s="6" t="n"/>
      <c r="E108" s="6" t="n"/>
      <c r="F108" s="6" t="n"/>
      <c r="G108" s="6" t="n"/>
    </row>
    <row r="109">
      <c r="A109" s="2" t="n">
        <v>107</v>
      </c>
      <c r="B109" s="5" t="n"/>
      <c r="C109" s="2" t="inlineStr">
        <is>
          <t>以摊余成本计量的金融资产终止确认收益</t>
        </is>
      </c>
      <c r="D109" s="6" t="n"/>
      <c r="E109" s="6" t="n"/>
      <c r="F109" s="6" t="n"/>
      <c r="G109" s="6" t="n"/>
    </row>
    <row r="110">
      <c r="A110" s="2" t="n">
        <v>108</v>
      </c>
      <c r="B110" s="5" t="n"/>
      <c r="C110" s="2" t="inlineStr">
        <is>
          <t>净敞口套期收益 / 汇兑收益</t>
        </is>
      </c>
      <c r="D110" s="6" t="n"/>
      <c r="E110" s="6" t="n"/>
      <c r="F110" s="6" t="n"/>
      <c r="G110" s="6" t="n"/>
    </row>
    <row r="111">
      <c r="A111" s="2" t="n">
        <v>109</v>
      </c>
      <c r="B111" s="5" t="n"/>
      <c r="C111" s="2" t="inlineStr">
        <is>
          <t>公允价值变动收益</t>
        </is>
      </c>
      <c r="D111" s="6" t="n"/>
      <c r="E111" s="6" t="n"/>
      <c r="F111" s="6" t="n"/>
      <c r="G111" s="6" t="n"/>
    </row>
    <row r="112">
      <c r="A112" s="2" t="n">
        <v>110</v>
      </c>
      <c r="B112" s="5" t="n"/>
      <c r="C112" s="2" t="inlineStr">
        <is>
          <t>信用减值损失</t>
        </is>
      </c>
      <c r="D112" s="6" t="n"/>
      <c r="E112" s="6" t="n"/>
      <c r="F112" s="6" t="n"/>
      <c r="G112" s="6" t="n"/>
    </row>
    <row r="113">
      <c r="A113" s="2" t="n">
        <v>111</v>
      </c>
      <c r="B113" s="5" t="n"/>
      <c r="C113" s="2" t="inlineStr">
        <is>
          <t>资产减值损失</t>
        </is>
      </c>
      <c r="D113" s="6" t="n"/>
      <c r="E113" s="6" t="n"/>
      <c r="F113" s="6" t="n"/>
      <c r="G113" s="6" t="n"/>
    </row>
    <row r="114">
      <c r="A114" s="2" t="n">
        <v>112</v>
      </c>
      <c r="B114" s="5" t="n"/>
      <c r="C114" s="2" t="inlineStr">
        <is>
          <t>资产处置收益</t>
        </is>
      </c>
      <c r="D114" s="6" t="n"/>
      <c r="E114" s="6" t="n"/>
      <c r="F114" s="6" t="n"/>
      <c r="G114" s="6" t="n"/>
    </row>
    <row r="115">
      <c r="A115" s="2" t="n">
        <v>113</v>
      </c>
      <c r="B115" s="5" t="n"/>
      <c r="C115" s="2" t="inlineStr">
        <is>
          <t>营业利润</t>
        </is>
      </c>
      <c r="D115" s="4">
        <f>D93-D96+D106+D107+D111-D112-D113+D114</f>
        <v/>
      </c>
      <c r="E115" s="4">
        <f>E93-E96+E106+E107+E111-E112-E113+E114</f>
        <v/>
      </c>
      <c r="F115" s="4">
        <f>F93-F96+F106+F107+F111-F112-F113+F114</f>
        <v/>
      </c>
      <c r="G115" s="4">
        <f>G93-G96+G106+G107+G111-G112-G113+G114</f>
        <v/>
      </c>
    </row>
    <row r="116">
      <c r="A116" s="2" t="n">
        <v>114</v>
      </c>
      <c r="B116" s="5" t="n"/>
      <c r="C116" s="2" t="inlineStr">
        <is>
          <t>加：营业外收入</t>
        </is>
      </c>
      <c r="D116" s="6" t="n"/>
      <c r="E116" s="6" t="n"/>
      <c r="F116" s="6" t="n"/>
      <c r="G116" s="6" t="n"/>
    </row>
    <row r="117">
      <c r="A117" s="2" t="n">
        <v>115</v>
      </c>
      <c r="B117" s="5" t="n"/>
      <c r="C117" s="2" t="inlineStr">
        <is>
          <t>减：营业外支出</t>
        </is>
      </c>
      <c r="D117" s="6" t="n"/>
      <c r="E117" s="6" t="n"/>
      <c r="F117" s="6" t="n"/>
      <c r="G117" s="6" t="n"/>
    </row>
    <row r="118">
      <c r="A118" s="2" t="n">
        <v>116</v>
      </c>
      <c r="B118" s="5" t="n"/>
      <c r="C118" s="2" t="inlineStr">
        <is>
          <t>利润总额</t>
        </is>
      </c>
      <c r="D118" s="4">
        <f>D115+D116-D117</f>
        <v/>
      </c>
      <c r="E118" s="4">
        <f>E115+E116-E117</f>
        <v/>
      </c>
      <c r="F118" s="4">
        <f>F115+F116-F117</f>
        <v/>
      </c>
      <c r="G118" s="4">
        <f>G115+G116-G117</f>
        <v/>
      </c>
    </row>
    <row r="119">
      <c r="A119" s="2" t="n">
        <v>117</v>
      </c>
      <c r="B119" s="5" t="n"/>
      <c r="C119" s="2" t="inlineStr">
        <is>
          <t>减：所得税费用</t>
        </is>
      </c>
      <c r="D119" s="6" t="n"/>
      <c r="E119" s="6" t="n"/>
      <c r="F119" s="6" t="n"/>
      <c r="G119" s="6" t="n"/>
    </row>
    <row r="120">
      <c r="A120" s="2" t="n">
        <v>118</v>
      </c>
      <c r="B120" s="5" t="n"/>
      <c r="C120" s="2" t="inlineStr">
        <is>
          <t>净利润</t>
        </is>
      </c>
      <c r="D120" s="4">
        <f>D118-D119</f>
        <v/>
      </c>
      <c r="E120" s="4">
        <f>E118-E119</f>
        <v/>
      </c>
      <c r="F120" s="4">
        <f>F118-F119</f>
        <v/>
      </c>
      <c r="G120" s="4">
        <f>G118-G119</f>
        <v/>
      </c>
    </row>
    <row r="121">
      <c r="A121" s="2" t="n">
        <v>119</v>
      </c>
      <c r="B121" s="5" t="n"/>
      <c r="C121" s="2" t="inlineStr">
        <is>
          <t>归属于母公司所有者的净利润</t>
        </is>
      </c>
      <c r="D121" s="6" t="n"/>
      <c r="E121" s="6" t="n"/>
      <c r="F121" s="6" t="n"/>
      <c r="G121" s="6" t="n"/>
    </row>
    <row r="122">
      <c r="A122" s="2" t="n">
        <v>120</v>
      </c>
      <c r="B122" s="5" t="n"/>
      <c r="C122" s="2" t="inlineStr">
        <is>
          <t>少数股东损益</t>
        </is>
      </c>
      <c r="D122" s="6" t="n"/>
      <c r="E122" s="6" t="n"/>
      <c r="F122" s="6" t="n"/>
      <c r="G122" s="6" t="n"/>
    </row>
    <row r="123">
      <c r="A123" s="2" t="n">
        <v>121</v>
      </c>
      <c r="B123" s="5" t="n"/>
      <c r="C123" s="2" t="inlineStr">
        <is>
          <t>综合收益总额</t>
        </is>
      </c>
      <c r="D123" s="6" t="n"/>
      <c r="E123" s="6" t="n"/>
      <c r="F123" s="6" t="n"/>
      <c r="G123" s="6" t="n"/>
    </row>
    <row r="124">
      <c r="A124" s="2" t="n">
        <v>122</v>
      </c>
      <c r="B124" s="7" t="n"/>
      <c r="C124" s="2" t="inlineStr">
        <is>
          <t>【利润勾稽】净利润 - (归母+少数)</t>
        </is>
      </c>
      <c r="D124" s="8">
        <f>D120-(D121+D122)</f>
        <v/>
      </c>
      <c r="E124" s="8">
        <f>E120-(E121+E122)</f>
        <v/>
      </c>
      <c r="F124" s="8">
        <f>F120-(F121+F122)</f>
        <v/>
      </c>
      <c r="G124" s="8">
        <f>G120-(G121+G122)</f>
        <v/>
      </c>
    </row>
    <row r="125">
      <c r="A125" s="2" t="inlineStr"/>
      <c r="B125" s="3" t="inlineStr"/>
      <c r="C125" s="2" t="inlineStr"/>
      <c r="D125" s="9" t="n"/>
      <c r="E125" s="9" t="n"/>
      <c r="F125" s="9" t="n"/>
      <c r="G125" s="9" t="n"/>
    </row>
    <row r="126">
      <c r="A126" s="2" t="n">
        <v>123</v>
      </c>
      <c r="B126" s="3" t="inlineStr">
        <is>
          <t>现金流量表</t>
        </is>
      </c>
      <c r="C126" s="2" t="inlineStr">
        <is>
          <t>经营活动产生的现金流量：</t>
        </is>
      </c>
      <c r="D126" s="6" t="n"/>
      <c r="E126" s="6" t="n"/>
      <c r="F126" s="6" t="n"/>
      <c r="G126" s="6" t="n"/>
    </row>
    <row r="127">
      <c r="A127" s="2" t="n">
        <v>124</v>
      </c>
      <c r="B127" s="5" t="n"/>
      <c r="C127" s="2" t="inlineStr">
        <is>
          <t>销售商品、提供劳务收到的现金</t>
        </is>
      </c>
      <c r="D127" s="6" t="n"/>
      <c r="E127" s="6" t="n"/>
      <c r="F127" s="6" t="n"/>
      <c r="G127" s="6" t="n"/>
    </row>
    <row r="128">
      <c r="A128" s="2" t="n">
        <v>125</v>
      </c>
      <c r="B128" s="5" t="n"/>
      <c r="C128" s="2" t="inlineStr">
        <is>
          <t>客户存款和同业存放款项净增加额</t>
        </is>
      </c>
      <c r="D128" s="6" t="n"/>
      <c r="E128" s="6" t="n"/>
      <c r="F128" s="6" t="n"/>
      <c r="G128" s="6" t="n"/>
    </row>
    <row r="129">
      <c r="A129" s="2" t="n">
        <v>126</v>
      </c>
      <c r="B129" s="5" t="n"/>
      <c r="C129" s="2" t="inlineStr">
        <is>
          <t>向中央银行借款净增加额 / 拆入资金净增加额</t>
        </is>
      </c>
      <c r="D129" s="6" t="n"/>
      <c r="E129" s="6" t="n"/>
      <c r="F129" s="6" t="n"/>
      <c r="G129" s="6" t="n"/>
    </row>
    <row r="130">
      <c r="A130" s="2" t="n">
        <v>127</v>
      </c>
      <c r="B130" s="5" t="n"/>
      <c r="C130" s="2" t="inlineStr">
        <is>
          <t>收取利息、手续费及佣金的现金</t>
        </is>
      </c>
      <c r="D130" s="6" t="n"/>
      <c r="E130" s="6" t="n"/>
      <c r="F130" s="6" t="n"/>
      <c r="G130" s="6" t="n"/>
    </row>
    <row r="131">
      <c r="A131" s="2" t="n">
        <v>128</v>
      </c>
      <c r="B131" s="5" t="n"/>
      <c r="C131" s="2" t="inlineStr">
        <is>
          <t>收到的税费返还</t>
        </is>
      </c>
      <c r="D131" s="6" t="n"/>
      <c r="E131" s="6" t="n"/>
      <c r="F131" s="6" t="n"/>
      <c r="G131" s="6" t="n"/>
    </row>
    <row r="132">
      <c r="A132" s="2" t="n">
        <v>129</v>
      </c>
      <c r="B132" s="5" t="n"/>
      <c r="C132" s="2" t="inlineStr">
        <is>
          <t>收到其他与经营活动有关的现金</t>
        </is>
      </c>
      <c r="D132" s="6" t="n"/>
      <c r="E132" s="6" t="n"/>
      <c r="F132" s="6" t="n"/>
      <c r="G132" s="6" t="n"/>
    </row>
    <row r="133">
      <c r="A133" s="2" t="n">
        <v>130</v>
      </c>
      <c r="B133" s="5" t="n"/>
      <c r="C133" s="2" t="inlineStr">
        <is>
          <t>经营活动现金流入小计</t>
        </is>
      </c>
      <c r="D133" s="4">
        <f>SUM(D127,D128,D129,D130,D131,D132)</f>
        <v/>
      </c>
      <c r="E133" s="4">
        <f>SUM(E127,E128,E129,E130,E131,E132)</f>
        <v/>
      </c>
      <c r="F133" s="4">
        <f>SUM(F127,F128,F129,F130,F131,F132)</f>
        <v/>
      </c>
      <c r="G133" s="4">
        <f>SUM(G127,G128,G129,G130,G131,G132)</f>
        <v/>
      </c>
    </row>
    <row r="134">
      <c r="A134" s="2" t="n">
        <v>131</v>
      </c>
      <c r="B134" s="5" t="n"/>
      <c r="C134" s="2" t="inlineStr">
        <is>
          <t>购买商品、接受劳务支付的现金</t>
        </is>
      </c>
      <c r="D134" s="6" t="n"/>
      <c r="E134" s="6" t="n"/>
      <c r="F134" s="6" t="n"/>
      <c r="G134" s="6" t="n"/>
    </row>
    <row r="135">
      <c r="A135" s="2" t="n">
        <v>132</v>
      </c>
      <c r="B135" s="5" t="n"/>
      <c r="C135" s="2" t="inlineStr">
        <is>
          <t>客户贷款及垫款净增加额</t>
        </is>
      </c>
      <c r="D135" s="6" t="n"/>
      <c r="E135" s="6" t="n"/>
      <c r="F135" s="6" t="n"/>
      <c r="G135" s="6" t="n"/>
    </row>
    <row r="136">
      <c r="A136" s="2" t="n">
        <v>133</v>
      </c>
      <c r="B136" s="5" t="n"/>
      <c r="C136" s="2" t="inlineStr">
        <is>
          <t>存放中央银行和同业款项净增加额</t>
        </is>
      </c>
      <c r="D136" s="6" t="n"/>
      <c r="E136" s="6" t="n"/>
      <c r="F136" s="6" t="n"/>
      <c r="G136" s="6" t="n"/>
    </row>
    <row r="137">
      <c r="A137" s="2" t="n">
        <v>134</v>
      </c>
      <c r="B137" s="5" t="n"/>
      <c r="C137" s="2" t="inlineStr">
        <is>
          <t>支付利息、手续费及佣金的现金</t>
        </is>
      </c>
      <c r="D137" s="6" t="n"/>
      <c r="E137" s="6" t="n"/>
      <c r="F137" s="6" t="n"/>
      <c r="G137" s="6" t="n"/>
    </row>
    <row r="138">
      <c r="A138" s="2" t="n">
        <v>135</v>
      </c>
      <c r="B138" s="5" t="n"/>
      <c r="C138" s="2" t="inlineStr">
        <is>
          <t>支付给职工以及为职工支付的现金</t>
        </is>
      </c>
      <c r="D138" s="6" t="n"/>
      <c r="E138" s="6" t="n"/>
      <c r="F138" s="6" t="n"/>
      <c r="G138" s="6" t="n"/>
    </row>
    <row r="139">
      <c r="A139" s="2" t="n">
        <v>136</v>
      </c>
      <c r="B139" s="5" t="n"/>
      <c r="C139" s="2" t="inlineStr">
        <is>
          <t>支付的各项税费</t>
        </is>
      </c>
      <c r="D139" s="6" t="n"/>
      <c r="E139" s="6" t="n"/>
      <c r="F139" s="6" t="n"/>
      <c r="G139" s="6" t="n"/>
    </row>
    <row r="140">
      <c r="A140" s="2" t="n">
        <v>137</v>
      </c>
      <c r="B140" s="5" t="n"/>
      <c r="C140" s="2" t="inlineStr">
        <is>
          <t>支付其他与经营活动有关的现金</t>
        </is>
      </c>
      <c r="D140" s="6" t="n"/>
      <c r="E140" s="6" t="n"/>
      <c r="F140" s="6" t="n"/>
      <c r="G140" s="6" t="n"/>
    </row>
    <row r="141">
      <c r="A141" s="2" t="n">
        <v>138</v>
      </c>
      <c r="B141" s="5" t="n"/>
      <c r="C141" s="2" t="inlineStr">
        <is>
          <t>经营活动现金流出小计</t>
        </is>
      </c>
      <c r="D141" s="4">
        <f>SUM(D134,D135,D136,D137,D138,D139,D140)</f>
        <v/>
      </c>
      <c r="E141" s="4">
        <f>SUM(E134,E135,E136,E137,E138,E139,E140)</f>
        <v/>
      </c>
      <c r="F141" s="4">
        <f>SUM(F134,F135,F136,F137,F138,F139,F140)</f>
        <v/>
      </c>
      <c r="G141" s="4">
        <f>SUM(G134,G135,G136,G137,G138,G139,G140)</f>
        <v/>
      </c>
    </row>
    <row r="142">
      <c r="A142" s="2" t="n">
        <v>139</v>
      </c>
      <c r="B142" s="5" t="n"/>
      <c r="C142" s="2" t="inlineStr">
        <is>
          <t>经营活动产生的现金流量净额</t>
        </is>
      </c>
      <c r="D142" s="4">
        <f>D133-D141</f>
        <v/>
      </c>
      <c r="E142" s="4">
        <f>E133-E141</f>
        <v/>
      </c>
      <c r="F142" s="4">
        <f>F133-F141</f>
        <v/>
      </c>
      <c r="G142" s="4">
        <f>G133-G141</f>
        <v/>
      </c>
    </row>
    <row r="143">
      <c r="A143" s="2" t="n">
        <v>140</v>
      </c>
      <c r="B143" s="5" t="n"/>
      <c r="C143" s="2" t="inlineStr">
        <is>
          <t>投资活动产生的现金流量：</t>
        </is>
      </c>
      <c r="D143" s="6" t="n"/>
      <c r="E143" s="6" t="n"/>
      <c r="F143" s="6" t="n"/>
      <c r="G143" s="6" t="n"/>
    </row>
    <row r="144">
      <c r="A144" s="2" t="n">
        <v>141</v>
      </c>
      <c r="B144" s="5" t="n"/>
      <c r="C144" s="2" t="inlineStr">
        <is>
          <t>收回投资收到的现金</t>
        </is>
      </c>
      <c r="D144" s="6" t="n"/>
      <c r="E144" s="6" t="n"/>
      <c r="F144" s="6" t="n"/>
      <c r="G144" s="6" t="n"/>
    </row>
    <row r="145">
      <c r="A145" s="2" t="n">
        <v>142</v>
      </c>
      <c r="B145" s="5" t="n"/>
      <c r="C145" s="2" t="inlineStr">
        <is>
          <t>取得投资收益收到的现金</t>
        </is>
      </c>
      <c r="D145" s="6" t="n"/>
      <c r="E145" s="6" t="n"/>
      <c r="F145" s="6" t="n"/>
      <c r="G145" s="6" t="n"/>
    </row>
    <row r="146">
      <c r="A146" s="2" t="n">
        <v>143</v>
      </c>
      <c r="B146" s="5" t="n"/>
      <c r="C146" s="2" t="inlineStr">
        <is>
          <t>处置固定资产、无形资产和其他长期资产收回的现金净额</t>
        </is>
      </c>
      <c r="D146" s="6" t="n"/>
      <c r="E146" s="6" t="n"/>
      <c r="F146" s="6" t="n"/>
      <c r="G146" s="6" t="n"/>
    </row>
    <row r="147">
      <c r="A147" s="2" t="n">
        <v>144</v>
      </c>
      <c r="B147" s="5" t="n"/>
      <c r="C147" s="2" t="inlineStr">
        <is>
          <t>处置子公司及其他营业单位收到的现金净额</t>
        </is>
      </c>
      <c r="D147" s="6" t="n"/>
      <c r="E147" s="6" t="n"/>
      <c r="F147" s="6" t="n"/>
      <c r="G147" s="6" t="n"/>
    </row>
    <row r="148">
      <c r="A148" s="2" t="n">
        <v>145</v>
      </c>
      <c r="B148" s="5" t="n"/>
      <c r="C148" s="2" t="inlineStr">
        <is>
          <t>收到其他与投资活动有关的现金</t>
        </is>
      </c>
      <c r="D148" s="6" t="n"/>
      <c r="E148" s="6" t="n"/>
      <c r="F148" s="6" t="n"/>
      <c r="G148" s="6" t="n"/>
    </row>
    <row r="149">
      <c r="A149" s="2" t="n">
        <v>146</v>
      </c>
      <c r="B149" s="5" t="n"/>
      <c r="C149" s="2" t="inlineStr">
        <is>
          <t>投资活动现金流入小计</t>
        </is>
      </c>
      <c r="D149" s="4">
        <f>SUM(D144,D145,D146,D147,D148)</f>
        <v/>
      </c>
      <c r="E149" s="4">
        <f>SUM(E144,E145,E146,E147,E148)</f>
        <v/>
      </c>
      <c r="F149" s="4">
        <f>SUM(F144,F145,F146,F147,F148)</f>
        <v/>
      </c>
      <c r="G149" s="4">
        <f>SUM(G144,G145,G146,G147,G148)</f>
        <v/>
      </c>
    </row>
    <row r="150">
      <c r="A150" s="2" t="n">
        <v>147</v>
      </c>
      <c r="B150" s="5" t="n"/>
      <c r="C150" s="2" t="inlineStr">
        <is>
          <t>购建固定资产、无形资产和其他长期资产支付的现金</t>
        </is>
      </c>
      <c r="D150" s="6" t="n"/>
      <c r="E150" s="6" t="n"/>
      <c r="F150" s="6" t="n"/>
      <c r="G150" s="6" t="n"/>
    </row>
    <row r="151">
      <c r="A151" s="2" t="n">
        <v>148</v>
      </c>
      <c r="B151" s="5" t="n"/>
      <c r="C151" s="2" t="inlineStr">
        <is>
          <t>投资支付的现金</t>
        </is>
      </c>
      <c r="D151" s="6" t="n"/>
      <c r="E151" s="6" t="n"/>
      <c r="F151" s="6" t="n"/>
      <c r="G151" s="6" t="n"/>
    </row>
    <row r="152">
      <c r="A152" s="2" t="n">
        <v>149</v>
      </c>
      <c r="B152" s="5" t="n"/>
      <c r="C152" s="2" t="inlineStr">
        <is>
          <t>质押贷款净增加额</t>
        </is>
      </c>
      <c r="D152" s="6" t="n"/>
      <c r="E152" s="6" t="n"/>
      <c r="F152" s="6" t="n"/>
      <c r="G152" s="6" t="n"/>
    </row>
    <row r="153">
      <c r="A153" s="2" t="n">
        <v>150</v>
      </c>
      <c r="B153" s="5" t="n"/>
      <c r="C153" s="2" t="inlineStr">
        <is>
          <t>取得子公司及其他营业单位支付的现金净额</t>
        </is>
      </c>
      <c r="D153" s="6" t="n"/>
      <c r="E153" s="6" t="n"/>
      <c r="F153" s="6" t="n"/>
      <c r="G153" s="6" t="n"/>
    </row>
    <row r="154">
      <c r="A154" s="2" t="n">
        <v>151</v>
      </c>
      <c r="B154" s="5" t="n"/>
      <c r="C154" s="2" t="inlineStr">
        <is>
          <t>支付其他与投资活动有关的现金</t>
        </is>
      </c>
      <c r="D154" s="6" t="n"/>
      <c r="E154" s="6" t="n"/>
      <c r="F154" s="6" t="n"/>
      <c r="G154" s="6" t="n"/>
    </row>
    <row r="155">
      <c r="A155" s="2" t="n">
        <v>152</v>
      </c>
      <c r="B155" s="5" t="n"/>
      <c r="C155" s="2" t="inlineStr">
        <is>
          <t>投资活动现金流出小计</t>
        </is>
      </c>
      <c r="D155" s="4">
        <f>SUM(D150,D151,D152,D153,D154)</f>
        <v/>
      </c>
      <c r="E155" s="4">
        <f>SUM(E150,E151,E152,E153,E154)</f>
        <v/>
      </c>
      <c r="F155" s="4">
        <f>SUM(F150,F151,F152,F153,F154)</f>
        <v/>
      </c>
      <c r="G155" s="4">
        <f>SUM(G150,G151,G152,G153,G154)</f>
        <v/>
      </c>
    </row>
    <row r="156">
      <c r="A156" s="2" t="n">
        <v>153</v>
      </c>
      <c r="B156" s="5" t="n"/>
      <c r="C156" s="2" t="inlineStr">
        <is>
          <t>投资活动产生的现金流量净额</t>
        </is>
      </c>
      <c r="D156" s="4">
        <f>D149-D155</f>
        <v/>
      </c>
      <c r="E156" s="4">
        <f>E149-E155</f>
        <v/>
      </c>
      <c r="F156" s="4">
        <f>F149-F155</f>
        <v/>
      </c>
      <c r="G156" s="4">
        <f>G149-G155</f>
        <v/>
      </c>
    </row>
    <row r="157">
      <c r="A157" s="2" t="n">
        <v>154</v>
      </c>
      <c r="B157" s="5" t="n"/>
      <c r="C157" s="2" t="inlineStr">
        <is>
          <t>筹资活动产生的现金流量：</t>
        </is>
      </c>
      <c r="D157" s="6" t="n"/>
      <c r="E157" s="6" t="n"/>
      <c r="F157" s="6" t="n"/>
      <c r="G157" s="6" t="n"/>
    </row>
    <row r="158">
      <c r="A158" s="2" t="n">
        <v>155</v>
      </c>
      <c r="B158" s="5" t="n"/>
      <c r="C158" s="2" t="inlineStr">
        <is>
          <t>吸收投资收到的现金</t>
        </is>
      </c>
      <c r="D158" s="6" t="n"/>
      <c r="E158" s="6" t="n"/>
      <c r="F158" s="6" t="n"/>
      <c r="G158" s="6" t="n"/>
    </row>
    <row r="159">
      <c r="A159" s="2" t="n">
        <v>156</v>
      </c>
      <c r="B159" s="5" t="n"/>
      <c r="C159" s="2" t="inlineStr">
        <is>
          <t>其中：子公司吸收少数股东投资收到的现金</t>
        </is>
      </c>
      <c r="D159" s="6" t="n"/>
      <c r="E159" s="6" t="n"/>
      <c r="F159" s="6" t="n"/>
      <c r="G159" s="6" t="n"/>
    </row>
    <row r="160">
      <c r="A160" s="2" t="n">
        <v>157</v>
      </c>
      <c r="B160" s="5" t="n"/>
      <c r="C160" s="2" t="inlineStr">
        <is>
          <t>取得借款收到的现金</t>
        </is>
      </c>
      <c r="D160" s="6" t="n"/>
      <c r="E160" s="6" t="n"/>
      <c r="F160" s="6" t="n"/>
      <c r="G160" s="6" t="n"/>
    </row>
    <row r="161">
      <c r="A161" s="2" t="n">
        <v>158</v>
      </c>
      <c r="B161" s="5" t="n"/>
      <c r="C161" s="2" t="inlineStr">
        <is>
          <t>发行债券收到的现金</t>
        </is>
      </c>
      <c r="D161" s="6" t="n"/>
      <c r="E161" s="6" t="n"/>
      <c r="F161" s="6" t="n"/>
      <c r="G161" s="6" t="n"/>
    </row>
    <row r="162">
      <c r="A162" s="2" t="n">
        <v>159</v>
      </c>
      <c r="B162" s="5" t="n"/>
      <c r="C162" s="2" t="inlineStr">
        <is>
          <t>收到其他与筹资活动有关的现金</t>
        </is>
      </c>
      <c r="D162" s="6" t="n"/>
      <c r="E162" s="6" t="n"/>
      <c r="F162" s="6" t="n"/>
      <c r="G162" s="6" t="n"/>
    </row>
    <row r="163">
      <c r="A163" s="2" t="n">
        <v>160</v>
      </c>
      <c r="B163" s="5" t="n"/>
      <c r="C163" s="2" t="inlineStr">
        <is>
          <t>筹资活动现金流入小计</t>
        </is>
      </c>
      <c r="D163" s="4">
        <f>SUM(D158,D160,D161,D162)</f>
        <v/>
      </c>
      <c r="E163" s="4">
        <f>SUM(E158,E160,E161,E162)</f>
        <v/>
      </c>
      <c r="F163" s="4">
        <f>SUM(F158,F160,F161,F162)</f>
        <v/>
      </c>
      <c r="G163" s="4">
        <f>SUM(G158,G160,G161,G162)</f>
        <v/>
      </c>
    </row>
    <row r="164">
      <c r="A164" s="2" t="n">
        <v>161</v>
      </c>
      <c r="B164" s="5" t="n"/>
      <c r="C164" s="2" t="inlineStr">
        <is>
          <t>偿还债务支付的现金</t>
        </is>
      </c>
      <c r="D164" s="6" t="n"/>
      <c r="E164" s="6" t="n"/>
      <c r="F164" s="6" t="n"/>
      <c r="G164" s="6" t="n"/>
    </row>
    <row r="165">
      <c r="A165" s="2" t="n">
        <v>162</v>
      </c>
      <c r="B165" s="5" t="n"/>
      <c r="C165" s="2" t="inlineStr">
        <is>
          <t>分配股利、利润或偿付利息支付的现金</t>
        </is>
      </c>
      <c r="D165" s="6" t="n"/>
      <c r="E165" s="6" t="n"/>
      <c r="F165" s="6" t="n"/>
      <c r="G165" s="6" t="n"/>
    </row>
    <row r="166">
      <c r="A166" s="2" t="n">
        <v>163</v>
      </c>
      <c r="B166" s="5" t="n"/>
      <c r="C166" s="2" t="inlineStr">
        <is>
          <t>其中：子公司支付给少数股东的股利、利润</t>
        </is>
      </c>
      <c r="D166" s="6" t="n"/>
      <c r="E166" s="6" t="n"/>
      <c r="F166" s="6" t="n"/>
      <c r="G166" s="6" t="n"/>
    </row>
    <row r="167">
      <c r="A167" s="2" t="n">
        <v>164</v>
      </c>
      <c r="B167" s="5" t="n"/>
      <c r="C167" s="2" t="inlineStr">
        <is>
          <t>支付其他与筹资活动有关的现金</t>
        </is>
      </c>
      <c r="D167" s="6" t="n"/>
      <c r="E167" s="6" t="n"/>
      <c r="F167" s="6" t="n"/>
      <c r="G167" s="6" t="n"/>
    </row>
    <row r="168">
      <c r="A168" s="2" t="n">
        <v>165</v>
      </c>
      <c r="B168" s="5" t="n"/>
      <c r="C168" s="2" t="inlineStr">
        <is>
          <t>筹资活动现金流出小计</t>
        </is>
      </c>
      <c r="D168" s="4">
        <f>SUM(D164,D165,D167)</f>
        <v/>
      </c>
      <c r="E168" s="4">
        <f>SUM(E164,E165,E167)</f>
        <v/>
      </c>
      <c r="F168" s="4">
        <f>SUM(F164,F165,F167)</f>
        <v/>
      </c>
      <c r="G168" s="4">
        <f>SUM(G164,G165,G167)</f>
        <v/>
      </c>
    </row>
    <row r="169">
      <c r="A169" s="2" t="n">
        <v>166</v>
      </c>
      <c r="B169" s="5" t="n"/>
      <c r="C169" s="2" t="inlineStr">
        <is>
          <t>筹资活动产生的现金流量净额</t>
        </is>
      </c>
      <c r="D169" s="4">
        <f>D163-D168</f>
        <v/>
      </c>
      <c r="E169" s="4">
        <f>E163-E168</f>
        <v/>
      </c>
      <c r="F169" s="4">
        <f>F163-F168</f>
        <v/>
      </c>
      <c r="G169" s="4">
        <f>G163-G168</f>
        <v/>
      </c>
    </row>
    <row r="170">
      <c r="A170" s="2" t="n">
        <v>167</v>
      </c>
      <c r="B170" s="5" t="n"/>
      <c r="C170" s="2" t="inlineStr">
        <is>
          <t>汇率变动对现金及现金等价物的影响</t>
        </is>
      </c>
      <c r="D170" s="6" t="n"/>
      <c r="E170" s="6" t="n"/>
      <c r="F170" s="6" t="n"/>
      <c r="G170" s="6" t="n"/>
    </row>
    <row r="171">
      <c r="A171" s="2" t="n">
        <v>168</v>
      </c>
      <c r="B171" s="5" t="n"/>
      <c r="C171" s="2" t="inlineStr">
        <is>
          <t>现金及现金等价物净增加额</t>
        </is>
      </c>
      <c r="D171" s="4">
        <f>D142+D156+D169+D170</f>
        <v/>
      </c>
      <c r="E171" s="4">
        <f>E142+E156+E169+E170</f>
        <v/>
      </c>
      <c r="F171" s="4">
        <f>F142+F156+F169+F170</f>
        <v/>
      </c>
      <c r="G171" s="4">
        <f>G142+G156+G169+G170</f>
        <v/>
      </c>
    </row>
    <row r="172">
      <c r="A172" s="2" t="n">
        <v>169</v>
      </c>
      <c r="B172" s="5" t="n"/>
      <c r="C172" s="2" t="inlineStr">
        <is>
          <t>加：期初现金及现金等价物余额</t>
        </is>
      </c>
      <c r="D172" s="6" t="n"/>
      <c r="E172" s="6" t="n"/>
      <c r="F172" s="6" t="n"/>
      <c r="G172" s="6" t="n"/>
    </row>
    <row r="173">
      <c r="A173" s="2" t="n">
        <v>170</v>
      </c>
      <c r="B173" s="7" t="n"/>
      <c r="C173" s="2" t="inlineStr">
        <is>
          <t>期末现金及现金等价物余额</t>
        </is>
      </c>
      <c r="D173" s="4">
        <f>D171+D172</f>
        <v/>
      </c>
      <c r="E173" s="4">
        <f>E171+E172</f>
        <v/>
      </c>
      <c r="F173" s="4">
        <f>F171+F172</f>
        <v/>
      </c>
      <c r="G173" s="4">
        <f>G171+G172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B2:B91"/>
    <mergeCell ref="B126:B173"/>
    <mergeCell ref="B93:B1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分析板块</t>
        </is>
      </c>
      <c r="B1" s="1" t="inlineStr">
        <is>
          <t>财务分析科目</t>
        </is>
      </c>
      <c r="C1" s="1" t="inlineStr">
        <is>
          <t>合并口径 (单位:万元)</t>
        </is>
      </c>
      <c r="D1" s="1" t="n"/>
      <c r="E1" s="1" t="n"/>
      <c r="F1" s="1" t="n"/>
      <c r="G1" s="10" t="inlineStr">
        <is>
          <t>本部口径 (单位:万元)</t>
        </is>
      </c>
      <c r="H1" s="1" t="n"/>
      <c r="I1" s="1" t="n"/>
      <c r="J1" s="1" t="n"/>
    </row>
    <row r="2">
      <c r="A2" s="1" t="n"/>
      <c r="B2" s="1" t="n"/>
      <c r="C2" s="1" t="inlineStr">
        <is>
          <t>2022年</t>
        </is>
      </c>
      <c r="D2" s="1" t="inlineStr">
        <is>
          <t>2023年</t>
        </is>
      </c>
      <c r="E2" s="1" t="inlineStr">
        <is>
          <t>2024年</t>
        </is>
      </c>
      <c r="F2" s="1" t="inlineStr">
        <is>
          <t>最新一期</t>
        </is>
      </c>
      <c r="G2" s="1" t="inlineStr">
        <is>
          <t>2022年</t>
        </is>
      </c>
      <c r="H2" s="1" t="inlineStr">
        <is>
          <t>2023年</t>
        </is>
      </c>
      <c r="I2" s="1" t="inlineStr">
        <is>
          <t>2024年</t>
        </is>
      </c>
      <c r="J2" s="1" t="inlineStr">
        <is>
          <t>最新一期</t>
        </is>
      </c>
    </row>
    <row r="3">
      <c r="A3" s="11" t="inlineStr">
        <is>
          <t>资产</t>
        </is>
      </c>
      <c r="B3" s="12" t="inlineStr">
        <is>
          <t>总资产</t>
        </is>
      </c>
      <c r="C3" s="4">
        <f>'4.担保人-合并源数据'!D43/10000</f>
        <v/>
      </c>
      <c r="D3" s="4">
        <f>'4.担保人-合并源数据'!E43/10000</f>
        <v/>
      </c>
      <c r="E3" s="4">
        <f>'4.担保人-合并源数据'!F43/10000</f>
        <v/>
      </c>
      <c r="F3" s="4">
        <f>'4.担保人-合并源数据'!G43/10000</f>
        <v/>
      </c>
      <c r="G3" s="4">
        <f>'5.担保人-本部源数据'!D43/10000</f>
        <v/>
      </c>
      <c r="H3" s="4">
        <f>'5.担保人-本部源数据'!E43/10000</f>
        <v/>
      </c>
      <c r="I3" s="4">
        <f>'5.担保人-本部源数据'!F43/10000</f>
        <v/>
      </c>
      <c r="J3" s="4">
        <f>'5.担保人-本部源数据'!G43/10000</f>
        <v/>
      </c>
    </row>
    <row r="4">
      <c r="A4" s="5" t="n"/>
      <c r="B4" s="12" t="inlineStr">
        <is>
          <t>流动资产</t>
        </is>
      </c>
      <c r="C4" s="4">
        <f>'4.担保人-合并源数据'!D2/10000</f>
        <v/>
      </c>
      <c r="D4" s="4">
        <f>'4.担保人-合并源数据'!E2/10000</f>
        <v/>
      </c>
      <c r="E4" s="4">
        <f>'4.担保人-合并源数据'!F2/10000</f>
        <v/>
      </c>
      <c r="F4" s="4">
        <f>'4.担保人-合并源数据'!G2/10000</f>
        <v/>
      </c>
      <c r="G4" s="4">
        <f>'5.担保人-本部源数据'!D2/10000</f>
        <v/>
      </c>
      <c r="H4" s="4">
        <f>'5.担保人-本部源数据'!E2/10000</f>
        <v/>
      </c>
      <c r="I4" s="4">
        <f>'5.担保人-本部源数据'!F2/10000</f>
        <v/>
      </c>
      <c r="J4" s="4">
        <f>'5.担保人-本部源数据'!G2/10000</f>
        <v/>
      </c>
    </row>
    <row r="5">
      <c r="A5" s="5" t="n"/>
      <c r="B5" s="12" t="inlineStr">
        <is>
          <t>货币资金</t>
        </is>
      </c>
      <c r="C5" s="4">
        <f>'4.担保人-合并源数据'!D3/10000</f>
        <v/>
      </c>
      <c r="D5" s="4">
        <f>'4.担保人-合并源数据'!E3/10000</f>
        <v/>
      </c>
      <c r="E5" s="4">
        <f>'4.担保人-合并源数据'!F3/10000</f>
        <v/>
      </c>
      <c r="F5" s="4">
        <f>'4.担保人-合并源数据'!G3/10000</f>
        <v/>
      </c>
      <c r="G5" s="4">
        <f>'5.担保人-本部源数据'!D3/10000</f>
        <v/>
      </c>
      <c r="H5" s="4">
        <f>'5.担保人-本部源数据'!E3/10000</f>
        <v/>
      </c>
      <c r="I5" s="4">
        <f>'5.担保人-本部源数据'!F3/10000</f>
        <v/>
      </c>
      <c r="J5" s="4">
        <f>'5.担保人-本部源数据'!G3/10000</f>
        <v/>
      </c>
    </row>
    <row r="6">
      <c r="A6" s="5" t="n"/>
      <c r="B6" s="12" t="inlineStr">
        <is>
          <t>应收帐款</t>
        </is>
      </c>
      <c r="C6" s="4">
        <f>'4.担保人-合并源数据'!D10/10000</f>
        <v/>
      </c>
      <c r="D6" s="4">
        <f>'4.担保人-合并源数据'!E10/10000</f>
        <v/>
      </c>
      <c r="E6" s="4">
        <f>'4.担保人-合并源数据'!F10/10000</f>
        <v/>
      </c>
      <c r="F6" s="4">
        <f>'4.担保人-合并源数据'!G10/10000</f>
        <v/>
      </c>
      <c r="G6" s="4">
        <f>'5.担保人-本部源数据'!D10/10000</f>
        <v/>
      </c>
      <c r="H6" s="4">
        <f>'5.担保人-本部源数据'!E10/10000</f>
        <v/>
      </c>
      <c r="I6" s="4">
        <f>'5.担保人-本部源数据'!F10/10000</f>
        <v/>
      </c>
      <c r="J6" s="4">
        <f>'5.担保人-本部源数据'!G10/10000</f>
        <v/>
      </c>
    </row>
    <row r="7">
      <c r="A7" s="5" t="n"/>
      <c r="B7" s="12" t="inlineStr">
        <is>
          <t>其他应收款</t>
        </is>
      </c>
      <c r="C7" s="4">
        <f>'4.担保人-合并源数据'!D16/10000</f>
        <v/>
      </c>
      <c r="D7" s="4">
        <f>'4.担保人-合并源数据'!E16/10000</f>
        <v/>
      </c>
      <c r="E7" s="4">
        <f>'4.担保人-合并源数据'!F16/10000</f>
        <v/>
      </c>
      <c r="F7" s="4">
        <f>'4.担保人-合并源数据'!G16/10000</f>
        <v/>
      </c>
      <c r="G7" s="4">
        <f>'5.担保人-本部源数据'!D16/10000</f>
        <v/>
      </c>
      <c r="H7" s="4">
        <f>'5.担保人-本部源数据'!E16/10000</f>
        <v/>
      </c>
      <c r="I7" s="4">
        <f>'5.担保人-本部源数据'!F16/10000</f>
        <v/>
      </c>
      <c r="J7" s="4">
        <f>'5.担保人-本部源数据'!G16/10000</f>
        <v/>
      </c>
    </row>
    <row r="8">
      <c r="A8" s="5" t="n"/>
      <c r="B8" s="12" t="inlineStr">
        <is>
          <t>预付帐款</t>
        </is>
      </c>
      <c r="C8" s="4">
        <f>'4.担保人-合并源数据'!D12/10000</f>
        <v/>
      </c>
      <c r="D8" s="4">
        <f>'4.担保人-合并源数据'!E12/10000</f>
        <v/>
      </c>
      <c r="E8" s="4">
        <f>'4.担保人-合并源数据'!F12/10000</f>
        <v/>
      </c>
      <c r="F8" s="4">
        <f>'4.担保人-合并源数据'!G12/10000</f>
        <v/>
      </c>
      <c r="G8" s="4">
        <f>'5.担保人-本部源数据'!D12/10000</f>
        <v/>
      </c>
      <c r="H8" s="4">
        <f>'5.担保人-本部源数据'!E12/10000</f>
        <v/>
      </c>
      <c r="I8" s="4">
        <f>'5.担保人-本部源数据'!F12/10000</f>
        <v/>
      </c>
      <c r="J8" s="4">
        <f>'5.担保人-本部源数据'!G12/10000</f>
        <v/>
      </c>
    </row>
    <row r="9">
      <c r="A9" s="5" t="n"/>
      <c r="B9" s="12" t="inlineStr">
        <is>
          <t>存货</t>
        </is>
      </c>
      <c r="C9" s="4">
        <f>'4.担保人-合并源数据'!D18/10000</f>
        <v/>
      </c>
      <c r="D9" s="4">
        <f>'4.担保人-合并源数据'!E18/10000</f>
        <v/>
      </c>
      <c r="E9" s="4">
        <f>'4.担保人-合并源数据'!F18/10000</f>
        <v/>
      </c>
      <c r="F9" s="4">
        <f>'4.担保人-合并源数据'!G18/10000</f>
        <v/>
      </c>
      <c r="G9" s="4">
        <f>'5.担保人-本部源数据'!D18/10000</f>
        <v/>
      </c>
      <c r="H9" s="4">
        <f>'5.担保人-本部源数据'!E18/10000</f>
        <v/>
      </c>
      <c r="I9" s="4">
        <f>'5.担保人-本部源数据'!F18/10000</f>
        <v/>
      </c>
      <c r="J9" s="4">
        <f>'5.担保人-本部源数据'!G18/10000</f>
        <v/>
      </c>
    </row>
    <row r="10">
      <c r="A10" s="5" t="n"/>
      <c r="B10" s="12" t="inlineStr">
        <is>
          <t>其他流动资产</t>
        </is>
      </c>
      <c r="C10" s="4">
        <f>'4.担保人-合并源数据'!D22/10000</f>
        <v/>
      </c>
      <c r="D10" s="4">
        <f>'4.担保人-合并源数据'!E22/10000</f>
        <v/>
      </c>
      <c r="E10" s="4">
        <f>'4.担保人-合并源数据'!F22/10000</f>
        <v/>
      </c>
      <c r="F10" s="4">
        <f>'4.担保人-合并源数据'!G22/10000</f>
        <v/>
      </c>
      <c r="G10" s="4">
        <f>'5.担保人-本部源数据'!D22/10000</f>
        <v/>
      </c>
      <c r="H10" s="4">
        <f>'5.担保人-本部源数据'!E22/10000</f>
        <v/>
      </c>
      <c r="I10" s="4">
        <f>'5.担保人-本部源数据'!F22/10000</f>
        <v/>
      </c>
      <c r="J10" s="4">
        <f>'5.担保人-本部源数据'!G22/10000</f>
        <v/>
      </c>
    </row>
    <row r="11">
      <c r="A11" s="5" t="n"/>
      <c r="B11" s="12" t="inlineStr">
        <is>
          <t>持有至到期投资</t>
        </is>
      </c>
      <c r="C11" s="4">
        <f>'4.担保人-合并源数据'!D25/10000</f>
        <v/>
      </c>
      <c r="D11" s="4">
        <f>'4.担保人-合并源数据'!E25/10000</f>
        <v/>
      </c>
      <c r="E11" s="4">
        <f>'4.担保人-合并源数据'!F25/10000</f>
        <v/>
      </c>
      <c r="F11" s="4">
        <f>'4.担保人-合并源数据'!G25/10000</f>
        <v/>
      </c>
      <c r="G11" s="4">
        <f>'5.担保人-本部源数据'!D25/10000</f>
        <v/>
      </c>
      <c r="H11" s="4">
        <f>'5.担保人-本部源数据'!E25/10000</f>
        <v/>
      </c>
      <c r="I11" s="4">
        <f>'5.担保人-本部源数据'!F25/10000</f>
        <v/>
      </c>
      <c r="J11" s="4">
        <f>'5.担保人-本部源数据'!G25/10000</f>
        <v/>
      </c>
    </row>
    <row r="12">
      <c r="A12" s="5" t="n"/>
      <c r="B12" s="12" t="inlineStr">
        <is>
          <t>长期股权投资</t>
        </is>
      </c>
      <c r="C12" s="4">
        <f>'4.担保人-合并源数据'!D28/10000</f>
        <v/>
      </c>
      <c r="D12" s="4">
        <f>'4.担保人-合并源数据'!E28/10000</f>
        <v/>
      </c>
      <c r="E12" s="4">
        <f>'4.担保人-合并源数据'!F28/10000</f>
        <v/>
      </c>
      <c r="F12" s="4">
        <f>'4.担保人-合并源数据'!G28/10000</f>
        <v/>
      </c>
      <c r="G12" s="4">
        <f>'5.担保人-本部源数据'!D28/10000</f>
        <v/>
      </c>
      <c r="H12" s="4">
        <f>'5.担保人-本部源数据'!E28/10000</f>
        <v/>
      </c>
      <c r="I12" s="4">
        <f>'5.担保人-本部源数据'!F28/10000</f>
        <v/>
      </c>
      <c r="J12" s="4">
        <f>'5.担保人-本部源数据'!G28/10000</f>
        <v/>
      </c>
    </row>
    <row r="13">
      <c r="A13" s="5" t="n"/>
      <c r="B13" s="12" t="inlineStr">
        <is>
          <t>投资性房地产</t>
        </is>
      </c>
      <c r="C13" s="4">
        <f>'4.担保人-合并源数据'!D31/10000</f>
        <v/>
      </c>
      <c r="D13" s="4">
        <f>'4.担保人-合并源数据'!E31/10000</f>
        <v/>
      </c>
      <c r="E13" s="4">
        <f>'4.担保人-合并源数据'!F31/10000</f>
        <v/>
      </c>
      <c r="F13" s="4">
        <f>'4.担保人-合并源数据'!G31/10000</f>
        <v/>
      </c>
      <c r="G13" s="4">
        <f>'5.担保人-本部源数据'!D31/10000</f>
        <v/>
      </c>
      <c r="H13" s="4">
        <f>'5.担保人-本部源数据'!E31/10000</f>
        <v/>
      </c>
      <c r="I13" s="4">
        <f>'5.担保人-本部源数据'!F31/10000</f>
        <v/>
      </c>
      <c r="J13" s="4">
        <f>'5.担保人-本部源数据'!G31/10000</f>
        <v/>
      </c>
    </row>
    <row r="14">
      <c r="A14" s="5" t="n"/>
      <c r="B14" s="12" t="inlineStr">
        <is>
          <t>固定资产</t>
        </is>
      </c>
      <c r="C14" s="4">
        <f>'4.担保人-合并源数据'!D32/10000</f>
        <v/>
      </c>
      <c r="D14" s="4">
        <f>'4.担保人-合并源数据'!E32/10000</f>
        <v/>
      </c>
      <c r="E14" s="4">
        <f>'4.担保人-合并源数据'!F32/10000</f>
        <v/>
      </c>
      <c r="F14" s="4">
        <f>'4.担保人-合并源数据'!G32/10000</f>
        <v/>
      </c>
      <c r="G14" s="4">
        <f>'5.担保人-本部源数据'!D32/10000</f>
        <v/>
      </c>
      <c r="H14" s="4">
        <f>'5.担保人-本部源数据'!E32/10000</f>
        <v/>
      </c>
      <c r="I14" s="4">
        <f>'5.担保人-本部源数据'!F32/10000</f>
        <v/>
      </c>
      <c r="J14" s="4">
        <f>'5.担保人-本部源数据'!G32/10000</f>
        <v/>
      </c>
    </row>
    <row r="15">
      <c r="A15" s="5" t="n"/>
      <c r="B15" s="2" t="inlineStr">
        <is>
          <t>其中：本期新增折旧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</row>
    <row r="16">
      <c r="A16" s="5" t="n"/>
      <c r="B16" s="12" t="inlineStr">
        <is>
          <t>在建工程</t>
        </is>
      </c>
      <c r="C16" s="4">
        <f>'4.担保人-合并源数据'!D34/10000</f>
        <v/>
      </c>
      <c r="D16" s="4">
        <f>'4.担保人-合并源数据'!E34/10000</f>
        <v/>
      </c>
      <c r="E16" s="4">
        <f>'4.担保人-合并源数据'!F34/10000</f>
        <v/>
      </c>
      <c r="F16" s="4">
        <f>'4.担保人-合并源数据'!G34/10000</f>
        <v/>
      </c>
      <c r="G16" s="4">
        <f>'5.担保人-本部源数据'!D34/10000</f>
        <v/>
      </c>
      <c r="H16" s="4">
        <f>'5.担保人-本部源数据'!E34/10000</f>
        <v/>
      </c>
      <c r="I16" s="4">
        <f>'5.担保人-本部源数据'!F34/10000</f>
        <v/>
      </c>
      <c r="J16" s="4">
        <f>'5.担保人-本部源数据'!G34/10000</f>
        <v/>
      </c>
    </row>
    <row r="17">
      <c r="A17" s="5" t="n"/>
      <c r="B17" s="12" t="inlineStr">
        <is>
          <t>无形资产</t>
        </is>
      </c>
      <c r="C17" s="4">
        <f>'4.担保人-合并源数据'!D37/10000</f>
        <v/>
      </c>
      <c r="D17" s="4">
        <f>'4.担保人-合并源数据'!E37/10000</f>
        <v/>
      </c>
      <c r="E17" s="4">
        <f>'4.担保人-合并源数据'!F37/10000</f>
        <v/>
      </c>
      <c r="F17" s="4">
        <f>'4.担保人-合并源数据'!G37/10000</f>
        <v/>
      </c>
      <c r="G17" s="4">
        <f>'5.担保人-本部源数据'!D37/10000</f>
        <v/>
      </c>
      <c r="H17" s="4">
        <f>'5.担保人-本部源数据'!E37/10000</f>
        <v/>
      </c>
      <c r="I17" s="4">
        <f>'5.担保人-本部源数据'!F37/10000</f>
        <v/>
      </c>
      <c r="J17" s="4">
        <f>'5.担保人-本部源数据'!G37/10000</f>
        <v/>
      </c>
    </row>
    <row r="18">
      <c r="A18" s="5" t="n"/>
      <c r="B18" s="2" t="inlineStr">
        <is>
          <t>其中：本期新增摊销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</row>
    <row r="19">
      <c r="A19" s="5" t="n"/>
      <c r="B19" s="12" t="inlineStr">
        <is>
          <t>长期待摊费用</t>
        </is>
      </c>
      <c r="C19" s="4">
        <f>'4.担保人-合并源数据'!D40/10000</f>
        <v/>
      </c>
      <c r="D19" s="4">
        <f>'4.担保人-合并源数据'!E40/10000</f>
        <v/>
      </c>
      <c r="E19" s="4">
        <f>'4.担保人-合并源数据'!F40/10000</f>
        <v/>
      </c>
      <c r="F19" s="4">
        <f>'4.担保人-合并源数据'!G40/10000</f>
        <v/>
      </c>
      <c r="G19" s="4">
        <f>'5.担保人-本部源数据'!D40/10000</f>
        <v/>
      </c>
      <c r="H19" s="4">
        <f>'5.担保人-本部源数据'!E40/10000</f>
        <v/>
      </c>
      <c r="I19" s="4">
        <f>'5.担保人-本部源数据'!F40/10000</f>
        <v/>
      </c>
      <c r="J19" s="4">
        <f>'5.担保人-本部源数据'!G40/10000</f>
        <v/>
      </c>
    </row>
    <row r="20">
      <c r="A20" s="5" t="n"/>
      <c r="B20" s="2" t="inlineStr">
        <is>
          <t>其中：本期新增摊销(长待)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</row>
    <row r="21">
      <c r="A21" s="5" t="n"/>
      <c r="B21" s="12" t="inlineStr">
        <is>
          <t>递延所得税资产</t>
        </is>
      </c>
      <c r="C21" s="4">
        <f>'4.担保人-合并源数据'!D41/10000</f>
        <v/>
      </c>
      <c r="D21" s="4">
        <f>'4.担保人-合并源数据'!E41/10000</f>
        <v/>
      </c>
      <c r="E21" s="4">
        <f>'4.担保人-合并源数据'!F41/10000</f>
        <v/>
      </c>
      <c r="F21" s="4">
        <f>'4.担保人-合并源数据'!G41/10000</f>
        <v/>
      </c>
      <c r="G21" s="4">
        <f>'5.担保人-本部源数据'!D41/10000</f>
        <v/>
      </c>
      <c r="H21" s="4">
        <f>'5.担保人-本部源数据'!E41/10000</f>
        <v/>
      </c>
      <c r="I21" s="4">
        <f>'5.担保人-本部源数据'!F41/10000</f>
        <v/>
      </c>
      <c r="J21" s="4">
        <f>'5.担保人-本部源数据'!G41/10000</f>
        <v/>
      </c>
    </row>
    <row r="22">
      <c r="A22" s="7" t="n"/>
      <c r="B22" s="12" t="inlineStr">
        <is>
          <t>其他非流动资产</t>
        </is>
      </c>
      <c r="C22" s="4">
        <f>'4.担保人-合并源数据'!D42/10000</f>
        <v/>
      </c>
      <c r="D22" s="4">
        <f>'4.担保人-合并源数据'!E42/10000</f>
        <v/>
      </c>
      <c r="E22" s="4">
        <f>'4.担保人-合并源数据'!F42/10000</f>
        <v/>
      </c>
      <c r="F22" s="4">
        <f>'4.担保人-合并源数据'!G42/10000</f>
        <v/>
      </c>
      <c r="G22" s="4">
        <f>'5.担保人-本部源数据'!D42/10000</f>
        <v/>
      </c>
      <c r="H22" s="4">
        <f>'5.担保人-本部源数据'!E42/10000</f>
        <v/>
      </c>
      <c r="I22" s="4">
        <f>'5.担保人-本部源数据'!F42/10000</f>
        <v/>
      </c>
      <c r="J22" s="4">
        <f>'5.担保人-本部源数据'!G42/10000</f>
        <v/>
      </c>
    </row>
    <row r="23">
      <c r="A23" s="11" t="inlineStr">
        <is>
          <t>负债</t>
        </is>
      </c>
      <c r="B23" s="12" t="inlineStr">
        <is>
          <t>总负债</t>
        </is>
      </c>
      <c r="C23" s="4">
        <f>'4.担保人-合并源数据'!D75/10000</f>
        <v/>
      </c>
      <c r="D23" s="4">
        <f>'4.担保人-合并源数据'!E75/10000</f>
        <v/>
      </c>
      <c r="E23" s="4">
        <f>'4.担保人-合并源数据'!F75/10000</f>
        <v/>
      </c>
      <c r="F23" s="4">
        <f>'4.担保人-合并源数据'!G75/10000</f>
        <v/>
      </c>
      <c r="G23" s="4">
        <f>'5.担保人-本部源数据'!D75/10000</f>
        <v/>
      </c>
      <c r="H23" s="4">
        <f>'5.担保人-本部源数据'!E75/10000</f>
        <v/>
      </c>
      <c r="I23" s="4">
        <f>'5.担保人-本部源数据'!F75/10000</f>
        <v/>
      </c>
      <c r="J23" s="4">
        <f>'5.担保人-本部源数据'!G75/10000</f>
        <v/>
      </c>
    </row>
    <row r="24">
      <c r="A24" s="5" t="n"/>
      <c r="B24" s="12" t="inlineStr">
        <is>
          <t>流动负债</t>
        </is>
      </c>
      <c r="C24" s="4">
        <f>'4.担保人-合并源数据'!D44/10000</f>
        <v/>
      </c>
      <c r="D24" s="4">
        <f>'4.担保人-合并源数据'!E44/10000</f>
        <v/>
      </c>
      <c r="E24" s="4">
        <f>'4.担保人-合并源数据'!F44/10000</f>
        <v/>
      </c>
      <c r="F24" s="4">
        <f>'4.担保人-合并源数据'!G44/10000</f>
        <v/>
      </c>
      <c r="G24" s="4">
        <f>'5.担保人-本部源数据'!D44/10000</f>
        <v/>
      </c>
      <c r="H24" s="4">
        <f>'5.担保人-本部源数据'!E44/10000</f>
        <v/>
      </c>
      <c r="I24" s="4">
        <f>'5.担保人-本部源数据'!F44/10000</f>
        <v/>
      </c>
      <c r="J24" s="4">
        <f>'5.担保人-本部源数据'!G44/10000</f>
        <v/>
      </c>
    </row>
    <row r="25">
      <c r="A25" s="5" t="n"/>
      <c r="B25" s="12" t="inlineStr">
        <is>
          <t>短期借款</t>
        </is>
      </c>
      <c r="C25" s="4">
        <f>'4.担保人-合并源数据'!D45/10000</f>
        <v/>
      </c>
      <c r="D25" s="4">
        <f>'4.担保人-合并源数据'!E45/10000</f>
        <v/>
      </c>
      <c r="E25" s="4">
        <f>'4.担保人-合并源数据'!F45/10000</f>
        <v/>
      </c>
      <c r="F25" s="4">
        <f>'4.担保人-合并源数据'!G45/10000</f>
        <v/>
      </c>
      <c r="G25" s="4">
        <f>'5.担保人-本部源数据'!D45/10000</f>
        <v/>
      </c>
      <c r="H25" s="4">
        <f>'5.担保人-本部源数据'!E45/10000</f>
        <v/>
      </c>
      <c r="I25" s="4">
        <f>'5.担保人-本部源数据'!F45/10000</f>
        <v/>
      </c>
      <c r="J25" s="4">
        <f>'5.担保人-本部源数据'!G45/10000</f>
        <v/>
      </c>
    </row>
    <row r="26">
      <c r="A26" s="5" t="n"/>
      <c r="B26" s="12" t="inlineStr">
        <is>
          <t>应付账款</t>
        </is>
      </c>
      <c r="C26" s="4">
        <f>'4.担保人-合并源数据'!D51/10000</f>
        <v/>
      </c>
      <c r="D26" s="4">
        <f>'4.担保人-合并源数据'!E51/10000</f>
        <v/>
      </c>
      <c r="E26" s="4">
        <f>'4.担保人-合并源数据'!F51/10000</f>
        <v/>
      </c>
      <c r="F26" s="4">
        <f>'4.担保人-合并源数据'!G51/10000</f>
        <v/>
      </c>
      <c r="G26" s="4">
        <f>'5.担保人-本部源数据'!D51/10000</f>
        <v/>
      </c>
      <c r="H26" s="4">
        <f>'5.担保人-本部源数据'!E51/10000</f>
        <v/>
      </c>
      <c r="I26" s="4">
        <f>'5.担保人-本部源数据'!F51/10000</f>
        <v/>
      </c>
      <c r="J26" s="4">
        <f>'5.担保人-本部源数据'!G51/10000</f>
        <v/>
      </c>
    </row>
    <row r="27">
      <c r="A27" s="5" t="n"/>
      <c r="B27" s="12" t="inlineStr">
        <is>
          <t>预收账款</t>
        </is>
      </c>
      <c r="C27" s="4">
        <f>'4.担保人-合并源数据'!D52/10000</f>
        <v/>
      </c>
      <c r="D27" s="4">
        <f>'4.担保人-合并源数据'!E52/10000</f>
        <v/>
      </c>
      <c r="E27" s="4">
        <f>'4.担保人-合并源数据'!F52/10000</f>
        <v/>
      </c>
      <c r="F27" s="4">
        <f>'4.担保人-合并源数据'!G52/10000</f>
        <v/>
      </c>
      <c r="G27" s="4">
        <f>'5.担保人-本部源数据'!D52/10000</f>
        <v/>
      </c>
      <c r="H27" s="4">
        <f>'5.担保人-本部源数据'!E52/10000</f>
        <v/>
      </c>
      <c r="I27" s="4">
        <f>'5.担保人-本部源数据'!F52/10000</f>
        <v/>
      </c>
      <c r="J27" s="4">
        <f>'5.担保人-本部源数据'!G52/10000</f>
        <v/>
      </c>
    </row>
    <row r="28">
      <c r="A28" s="5" t="n"/>
      <c r="B28" s="12" t="inlineStr">
        <is>
          <t>应付职工薪酬</t>
        </is>
      </c>
      <c r="C28" s="4">
        <f>'4.担保人-合并源数据'!D55/10000</f>
        <v/>
      </c>
      <c r="D28" s="4">
        <f>'4.担保人-合并源数据'!E55/10000</f>
        <v/>
      </c>
      <c r="E28" s="4">
        <f>'4.担保人-合并源数据'!F55/10000</f>
        <v/>
      </c>
      <c r="F28" s="4">
        <f>'4.担保人-合并源数据'!G55/10000</f>
        <v/>
      </c>
      <c r="G28" s="4">
        <f>'5.担保人-本部源数据'!D55/10000</f>
        <v/>
      </c>
      <c r="H28" s="4">
        <f>'5.担保人-本部源数据'!E55/10000</f>
        <v/>
      </c>
      <c r="I28" s="4">
        <f>'5.担保人-本部源数据'!F55/10000</f>
        <v/>
      </c>
      <c r="J28" s="4">
        <f>'5.担保人-本部源数据'!G55/10000</f>
        <v/>
      </c>
    </row>
    <row r="29">
      <c r="A29" s="5" t="n"/>
      <c r="B29" s="12" t="inlineStr">
        <is>
          <t>应交税费</t>
        </is>
      </c>
      <c r="C29" s="4">
        <f>'4.担保人-合并源数据'!D56/10000</f>
        <v/>
      </c>
      <c r="D29" s="4">
        <f>'4.担保人-合并源数据'!E56/10000</f>
        <v/>
      </c>
      <c r="E29" s="4">
        <f>'4.担保人-合并源数据'!F56/10000</f>
        <v/>
      </c>
      <c r="F29" s="4">
        <f>'4.担保人-合并源数据'!G56/10000</f>
        <v/>
      </c>
      <c r="G29" s="4">
        <f>'5.担保人-本部源数据'!D56/10000</f>
        <v/>
      </c>
      <c r="H29" s="4">
        <f>'5.担保人-本部源数据'!E56/10000</f>
        <v/>
      </c>
      <c r="I29" s="4">
        <f>'5.担保人-本部源数据'!F56/10000</f>
        <v/>
      </c>
      <c r="J29" s="4">
        <f>'5.担保人-本部源数据'!G56/10000</f>
        <v/>
      </c>
    </row>
    <row r="30">
      <c r="A30" s="5" t="n"/>
      <c r="B30" s="12" t="inlineStr">
        <is>
          <t>其他应付款</t>
        </is>
      </c>
      <c r="C30" s="4">
        <f>'4.担保人-合并源数据'!D57/10000</f>
        <v/>
      </c>
      <c r="D30" s="4">
        <f>'4.担保人-合并源数据'!E57/10000</f>
        <v/>
      </c>
      <c r="E30" s="4">
        <f>'4.担保人-合并源数据'!F57/10000</f>
        <v/>
      </c>
      <c r="F30" s="4">
        <f>'4.担保人-合并源数据'!G57/10000</f>
        <v/>
      </c>
      <c r="G30" s="4">
        <f>'5.担保人-本部源数据'!D57/10000</f>
        <v/>
      </c>
      <c r="H30" s="4">
        <f>'5.担保人-本部源数据'!E57/10000</f>
        <v/>
      </c>
      <c r="I30" s="4">
        <f>'5.担保人-本部源数据'!F57/10000</f>
        <v/>
      </c>
      <c r="J30" s="4">
        <f>'5.担保人-本部源数据'!G57/10000</f>
        <v/>
      </c>
    </row>
    <row r="31">
      <c r="A31" s="5" t="n"/>
      <c r="B31" s="12" t="inlineStr">
        <is>
          <t>一年内的到期的非流动负债</t>
        </is>
      </c>
      <c r="C31" s="4">
        <f>'4.担保人-合并源数据'!D61/10000</f>
        <v/>
      </c>
      <c r="D31" s="4">
        <f>'4.担保人-合并源数据'!E61/10000</f>
        <v/>
      </c>
      <c r="E31" s="4">
        <f>'4.担保人-合并源数据'!F61/10000</f>
        <v/>
      </c>
      <c r="F31" s="4">
        <f>'4.担保人-合并源数据'!G61/10000</f>
        <v/>
      </c>
      <c r="G31" s="4">
        <f>'5.担保人-本部源数据'!D61/10000</f>
        <v/>
      </c>
      <c r="H31" s="4">
        <f>'5.担保人-本部源数据'!E61/10000</f>
        <v/>
      </c>
      <c r="I31" s="4">
        <f>'5.担保人-本部源数据'!F61/10000</f>
        <v/>
      </c>
      <c r="J31" s="4">
        <f>'5.担保人-本部源数据'!G61/10000</f>
        <v/>
      </c>
    </row>
    <row r="32">
      <c r="A32" s="5" t="n"/>
      <c r="B32" s="12" t="inlineStr">
        <is>
          <t>长期借款</t>
        </is>
      </c>
      <c r="C32" s="4">
        <f>'4.担保人-合并源数据'!D64/10000</f>
        <v/>
      </c>
      <c r="D32" s="4">
        <f>'4.担保人-合并源数据'!E64/10000</f>
        <v/>
      </c>
      <c r="E32" s="4">
        <f>'4.担保人-合并源数据'!F64/10000</f>
        <v/>
      </c>
      <c r="F32" s="4">
        <f>'4.担保人-合并源数据'!G64/10000</f>
        <v/>
      </c>
      <c r="G32" s="4">
        <f>'5.担保人-本部源数据'!D64/10000</f>
        <v/>
      </c>
      <c r="H32" s="4">
        <f>'5.担保人-本部源数据'!E64/10000</f>
        <v/>
      </c>
      <c r="I32" s="4">
        <f>'5.担保人-本部源数据'!F64/10000</f>
        <v/>
      </c>
      <c r="J32" s="4">
        <f>'5.担保人-本部源数据'!G64/10000</f>
        <v/>
      </c>
    </row>
    <row r="33">
      <c r="A33" s="5" t="n"/>
      <c r="B33" s="12" t="inlineStr">
        <is>
          <t>长期应付款</t>
        </is>
      </c>
      <c r="C33" s="4">
        <f>'4.担保人-合并源数据'!D69/10000</f>
        <v/>
      </c>
      <c r="D33" s="4">
        <f>'4.担保人-合并源数据'!E69/10000</f>
        <v/>
      </c>
      <c r="E33" s="4">
        <f>'4.担保人-合并源数据'!F69/10000</f>
        <v/>
      </c>
      <c r="F33" s="4">
        <f>'4.担保人-合并源数据'!G69/10000</f>
        <v/>
      </c>
      <c r="G33" s="4">
        <f>'5.担保人-本部源数据'!D69/10000</f>
        <v/>
      </c>
      <c r="H33" s="4">
        <f>'5.担保人-本部源数据'!E69/10000</f>
        <v/>
      </c>
      <c r="I33" s="4">
        <f>'5.担保人-本部源数据'!F69/10000</f>
        <v/>
      </c>
      <c r="J33" s="4">
        <f>'5.担保人-本部源数据'!G69/10000</f>
        <v/>
      </c>
    </row>
    <row r="34">
      <c r="A34" s="7" t="n"/>
      <c r="B34" s="12" t="inlineStr">
        <is>
          <t>应付债券</t>
        </is>
      </c>
      <c r="C34" s="4">
        <f>'4.担保人-合并源数据'!D65/10000</f>
        <v/>
      </c>
      <c r="D34" s="4">
        <f>'4.担保人-合并源数据'!E65/10000</f>
        <v/>
      </c>
      <c r="E34" s="4">
        <f>'4.担保人-合并源数据'!F65/10000</f>
        <v/>
      </c>
      <c r="F34" s="4">
        <f>'4.担保人-合并源数据'!G65/10000</f>
        <v/>
      </c>
      <c r="G34" s="4">
        <f>'5.担保人-本部源数据'!D65/10000</f>
        <v/>
      </c>
      <c r="H34" s="4">
        <f>'5.担保人-本部源数据'!E65/10000</f>
        <v/>
      </c>
      <c r="I34" s="4">
        <f>'5.担保人-本部源数据'!F65/10000</f>
        <v/>
      </c>
      <c r="J34" s="4">
        <f>'5.担保人-本部源数据'!G65/10000</f>
        <v/>
      </c>
    </row>
    <row r="35">
      <c r="A35" s="11" t="inlineStr">
        <is>
          <t>权益</t>
        </is>
      </c>
      <c r="B35" s="12" t="inlineStr">
        <is>
          <t>净资产</t>
        </is>
      </c>
      <c r="C35" s="4">
        <f>'4.担保人-合并源数据'!D76/10000</f>
        <v/>
      </c>
      <c r="D35" s="4">
        <f>'4.担保人-合并源数据'!E76/10000</f>
        <v/>
      </c>
      <c r="E35" s="4">
        <f>'4.担保人-合并源数据'!F76/10000</f>
        <v/>
      </c>
      <c r="F35" s="4">
        <f>'4.担保人-合并源数据'!G76/10000</f>
        <v/>
      </c>
      <c r="G35" s="4">
        <f>'5.担保人-本部源数据'!D76/10000</f>
        <v/>
      </c>
      <c r="H35" s="4">
        <f>'5.担保人-本部源数据'!E76/10000</f>
        <v/>
      </c>
      <c r="I35" s="4">
        <f>'5.担保人-本部源数据'!F76/10000</f>
        <v/>
      </c>
      <c r="J35" s="4">
        <f>'5.担保人-本部源数据'!G76/10000</f>
        <v/>
      </c>
    </row>
    <row r="36">
      <c r="A36" s="5" t="n"/>
      <c r="B36" s="12" t="inlineStr">
        <is>
          <t>实收资本</t>
        </is>
      </c>
      <c r="C36" s="4">
        <f>'4.担保人-合并源数据'!D77/10000</f>
        <v/>
      </c>
      <c r="D36" s="4">
        <f>'4.担保人-合并源数据'!E77/10000</f>
        <v/>
      </c>
      <c r="E36" s="4">
        <f>'4.担保人-合并源数据'!F77/10000</f>
        <v/>
      </c>
      <c r="F36" s="4">
        <f>'4.担保人-合并源数据'!G77/10000</f>
        <v/>
      </c>
      <c r="G36" s="4">
        <f>'5.担保人-本部源数据'!D77/10000</f>
        <v/>
      </c>
      <c r="H36" s="4">
        <f>'5.担保人-本部源数据'!E77/10000</f>
        <v/>
      </c>
      <c r="I36" s="4">
        <f>'5.担保人-本部源数据'!F77/10000</f>
        <v/>
      </c>
      <c r="J36" s="4">
        <f>'5.担保人-本部源数据'!G77/10000</f>
        <v/>
      </c>
    </row>
    <row r="37">
      <c r="A37" s="5" t="n"/>
      <c r="B37" s="12" t="inlineStr">
        <is>
          <t>资本公积</t>
        </is>
      </c>
      <c r="C37" s="4">
        <f>'4.担保人-合并源数据'!D81/10000</f>
        <v/>
      </c>
      <c r="D37" s="4">
        <f>'4.担保人-合并源数据'!E81/10000</f>
        <v/>
      </c>
      <c r="E37" s="4">
        <f>'4.担保人-合并源数据'!F81/10000</f>
        <v/>
      </c>
      <c r="F37" s="4">
        <f>'4.担保人-合并源数据'!G81/10000</f>
        <v/>
      </c>
      <c r="G37" s="4">
        <f>'5.担保人-本部源数据'!D81/10000</f>
        <v/>
      </c>
      <c r="H37" s="4">
        <f>'5.担保人-本部源数据'!E81/10000</f>
        <v/>
      </c>
      <c r="I37" s="4">
        <f>'5.担保人-本部源数据'!F81/10000</f>
        <v/>
      </c>
      <c r="J37" s="4">
        <f>'5.担保人-本部源数据'!G81/10000</f>
        <v/>
      </c>
    </row>
    <row r="38">
      <c r="A38" s="5" t="n"/>
      <c r="B38" s="12" t="inlineStr">
        <is>
          <t>盈余公积</t>
        </is>
      </c>
      <c r="C38" s="4">
        <f>'4.担保人-合并源数据'!D85/10000</f>
        <v/>
      </c>
      <c r="D38" s="4">
        <f>'4.担保人-合并源数据'!E85/10000</f>
        <v/>
      </c>
      <c r="E38" s="4">
        <f>'4.担保人-合并源数据'!F85/10000</f>
        <v/>
      </c>
      <c r="F38" s="4">
        <f>'4.担保人-合并源数据'!G85/10000</f>
        <v/>
      </c>
      <c r="G38" s="4">
        <f>'5.担保人-本部源数据'!D85/10000</f>
        <v/>
      </c>
      <c r="H38" s="4">
        <f>'5.担保人-本部源数据'!E85/10000</f>
        <v/>
      </c>
      <c r="I38" s="4">
        <f>'5.担保人-本部源数据'!F85/10000</f>
        <v/>
      </c>
      <c r="J38" s="4">
        <f>'5.担保人-本部源数据'!G85/10000</f>
        <v/>
      </c>
    </row>
    <row r="39">
      <c r="A39" s="7" t="n"/>
      <c r="B39" s="12" t="inlineStr">
        <is>
          <t>未分配利润</t>
        </is>
      </c>
      <c r="C39" s="4">
        <f>'4.担保人-合并源数据'!D87/10000</f>
        <v/>
      </c>
      <c r="D39" s="4">
        <f>'4.担保人-合并源数据'!E87/10000</f>
        <v/>
      </c>
      <c r="E39" s="4">
        <f>'4.担保人-合并源数据'!F87/10000</f>
        <v/>
      </c>
      <c r="F39" s="4">
        <f>'4.担保人-合并源数据'!G87/10000</f>
        <v/>
      </c>
      <c r="G39" s="4">
        <f>'5.担保人-本部源数据'!D87/10000</f>
        <v/>
      </c>
      <c r="H39" s="4">
        <f>'5.担保人-本部源数据'!E87/10000</f>
        <v/>
      </c>
      <c r="I39" s="4">
        <f>'5.担保人-本部源数据'!F87/10000</f>
        <v/>
      </c>
      <c r="J39" s="4">
        <f>'5.担保人-本部源数据'!G87/10000</f>
        <v/>
      </c>
    </row>
    <row r="40">
      <c r="A40" s="11" t="inlineStr">
        <is>
          <t>盈利能力</t>
        </is>
      </c>
      <c r="B40" s="12" t="inlineStr">
        <is>
          <t>营业收入</t>
        </is>
      </c>
      <c r="C40" s="4">
        <f>'4.担保人-合并源数据'!D94/10000</f>
        <v/>
      </c>
      <c r="D40" s="4">
        <f>'4.担保人-合并源数据'!E94/10000</f>
        <v/>
      </c>
      <c r="E40" s="4">
        <f>'4.担保人-合并源数据'!F94/10000</f>
        <v/>
      </c>
      <c r="F40" s="4">
        <f>'4.担保人-合并源数据'!G94/10000</f>
        <v/>
      </c>
      <c r="G40" s="4">
        <f>'5.担保人-本部源数据'!D94/10000</f>
        <v/>
      </c>
      <c r="H40" s="4">
        <f>'5.担保人-本部源数据'!E94/10000</f>
        <v/>
      </c>
      <c r="I40" s="4">
        <f>'5.担保人-本部源数据'!F94/10000</f>
        <v/>
      </c>
      <c r="J40" s="4">
        <f>'5.担保人-本部源数据'!G94/10000</f>
        <v/>
      </c>
    </row>
    <row r="41">
      <c r="A41" s="5" t="n"/>
      <c r="B41" s="12" t="inlineStr">
        <is>
          <t>主营业务成本</t>
        </is>
      </c>
      <c r="C41" s="4">
        <f>'4.担保人-合并源数据'!D97/10000</f>
        <v/>
      </c>
      <c r="D41" s="4">
        <f>'4.担保人-合并源数据'!E97/10000</f>
        <v/>
      </c>
      <c r="E41" s="4">
        <f>'4.担保人-合并源数据'!F97/10000</f>
        <v/>
      </c>
      <c r="F41" s="4">
        <f>'4.担保人-合并源数据'!G97/10000</f>
        <v/>
      </c>
      <c r="G41" s="4">
        <f>'5.担保人-本部源数据'!D97/10000</f>
        <v/>
      </c>
      <c r="H41" s="4">
        <f>'5.担保人-本部源数据'!E97/10000</f>
        <v/>
      </c>
      <c r="I41" s="4">
        <f>'5.担保人-本部源数据'!F97/10000</f>
        <v/>
      </c>
      <c r="J41" s="4">
        <f>'5.担保人-本部源数据'!G97/10000</f>
        <v/>
      </c>
    </row>
    <row r="42">
      <c r="A42" s="5" t="n"/>
      <c r="B42" s="12" t="inlineStr">
        <is>
          <t>主营业务利润</t>
        </is>
      </c>
      <c r="C42" s="4">
        <f>('4.担保人-合并源数据'!D94 - '4.担保人-合并源数据'!D97)/10000</f>
        <v/>
      </c>
      <c r="D42" s="4">
        <f>('4.担保人-合并源数据'!E94 - '4.担保人-合并源数据'!E97)/10000</f>
        <v/>
      </c>
      <c r="E42" s="4">
        <f>('4.担保人-合并源数据'!F94 - '4.担保人-合并源数据'!F97)/10000</f>
        <v/>
      </c>
      <c r="F42" s="4">
        <f>('4.担保人-合并源数据'!G94 - '4.担保人-合并源数据'!G97)/10000</f>
        <v/>
      </c>
      <c r="G42" s="4">
        <f>('5.担保人-本部源数据'!D94 - '5.担保人-本部源数据'!D97)/10000</f>
        <v/>
      </c>
      <c r="H42" s="4">
        <f>('5.担保人-本部源数据'!E94 - '5.担保人-本部源数据'!E97)/10000</f>
        <v/>
      </c>
      <c r="I42" s="4">
        <f>('5.担保人-本部源数据'!F94 - '5.担保人-本部源数据'!F97)/10000</f>
        <v/>
      </c>
      <c r="J42" s="4">
        <f>('5.担保人-本部源数据'!G94 - '5.担保人-本部源数据'!G97)/10000</f>
        <v/>
      </c>
    </row>
    <row r="43">
      <c r="A43" s="5" t="n"/>
      <c r="B43" s="12" t="inlineStr">
        <is>
          <t>期间费用</t>
        </is>
      </c>
      <c r="C43" s="4">
        <f>('4.担保人-合并源数据'!D100 + '4.担保人-合并源数据'!D101 + '4.担保人-合并源数据'!D102 + '4.担保人-合并源数据'!D103)/10000</f>
        <v/>
      </c>
      <c r="D43" s="4">
        <f>('4.担保人-合并源数据'!E100 + '4.担保人-合并源数据'!E101 + '4.担保人-合并源数据'!E102 + '4.担保人-合并源数据'!E103)/10000</f>
        <v/>
      </c>
      <c r="E43" s="4">
        <f>('4.担保人-合并源数据'!F100 + '4.担保人-合并源数据'!F101 + '4.担保人-合并源数据'!F102 + '4.担保人-合并源数据'!F103)/10000</f>
        <v/>
      </c>
      <c r="F43" s="4">
        <f>('4.担保人-合并源数据'!G100 + '4.担保人-合并源数据'!G101 + '4.担保人-合并源数据'!G102 + '4.担保人-合并源数据'!G103)/10000</f>
        <v/>
      </c>
      <c r="G43" s="4">
        <f>('5.担保人-本部源数据'!D100 + '5.担保人-本部源数据'!D101 + '5.担保人-本部源数据'!D102 + '5.担保人-本部源数据'!D103)/10000</f>
        <v/>
      </c>
      <c r="H43" s="4">
        <f>('5.担保人-本部源数据'!E100 + '5.担保人-本部源数据'!E101 + '5.担保人-本部源数据'!E102 + '5.担保人-本部源数据'!E103)/10000</f>
        <v/>
      </c>
      <c r="I43" s="4">
        <f>('5.担保人-本部源数据'!F100 + '5.担保人-本部源数据'!F101 + '5.担保人-本部源数据'!F102 + '5.担保人-本部源数据'!F103)/10000</f>
        <v/>
      </c>
      <c r="J43" s="4">
        <f>('5.担保人-本部源数据'!G100 + '5.担保人-本部源数据'!G101 + '5.担保人-本部源数据'!G102 + '5.担保人-本部源数据'!G103)/10000</f>
        <v/>
      </c>
    </row>
    <row r="44">
      <c r="A44" s="5" t="n"/>
      <c r="B44" s="12" t="inlineStr">
        <is>
          <t>股权变动收益</t>
        </is>
      </c>
      <c r="C44" s="4">
        <f>'4.担保人-合并源数据'!D107/10000</f>
        <v/>
      </c>
      <c r="D44" s="4">
        <f>'4.担保人-合并源数据'!E107/10000</f>
        <v/>
      </c>
      <c r="E44" s="4">
        <f>'4.担保人-合并源数据'!F107/10000</f>
        <v/>
      </c>
      <c r="F44" s="4">
        <f>'4.担保人-合并源数据'!G107/10000</f>
        <v/>
      </c>
      <c r="G44" s="4">
        <f>'5.担保人-本部源数据'!D107/10000</f>
        <v/>
      </c>
      <c r="H44" s="4">
        <f>'5.担保人-本部源数据'!E107/10000</f>
        <v/>
      </c>
      <c r="I44" s="4">
        <f>'5.担保人-本部源数据'!F107/10000</f>
        <v/>
      </c>
      <c r="J44" s="4">
        <f>'5.担保人-本部源数据'!G107/10000</f>
        <v/>
      </c>
    </row>
    <row r="45">
      <c r="A45" s="5" t="n"/>
      <c r="B45" s="12" t="inlineStr">
        <is>
          <t>其他收益（政府补助）</t>
        </is>
      </c>
      <c r="C45" s="4">
        <f>'4.担保人-合并源数据'!D106/10000</f>
        <v/>
      </c>
      <c r="D45" s="4">
        <f>'4.担保人-合并源数据'!E106/10000</f>
        <v/>
      </c>
      <c r="E45" s="4">
        <f>'4.担保人-合并源数据'!F106/10000</f>
        <v/>
      </c>
      <c r="F45" s="4">
        <f>'4.担保人-合并源数据'!G106/10000</f>
        <v/>
      </c>
      <c r="G45" s="4">
        <f>'5.担保人-本部源数据'!D106/10000</f>
        <v/>
      </c>
      <c r="H45" s="4">
        <f>'5.担保人-本部源数据'!E106/10000</f>
        <v/>
      </c>
      <c r="I45" s="4">
        <f>'5.担保人-本部源数据'!F106/10000</f>
        <v/>
      </c>
      <c r="J45" s="4">
        <f>'5.担保人-本部源数据'!G106/10000</f>
        <v/>
      </c>
    </row>
    <row r="46">
      <c r="A46" s="5" t="n"/>
      <c r="B46" s="12" t="inlineStr">
        <is>
          <t>利润总额</t>
        </is>
      </c>
      <c r="C46" s="4">
        <f>'4.担保人-合并源数据'!D118/10000</f>
        <v/>
      </c>
      <c r="D46" s="4">
        <f>'4.担保人-合并源数据'!E118/10000</f>
        <v/>
      </c>
      <c r="E46" s="4">
        <f>'4.担保人-合并源数据'!F118/10000</f>
        <v/>
      </c>
      <c r="F46" s="4">
        <f>'4.担保人-合并源数据'!G118/10000</f>
        <v/>
      </c>
      <c r="G46" s="4">
        <f>'5.担保人-本部源数据'!D118/10000</f>
        <v/>
      </c>
      <c r="H46" s="4">
        <f>'5.担保人-本部源数据'!E118/10000</f>
        <v/>
      </c>
      <c r="I46" s="4">
        <f>'5.担保人-本部源数据'!F118/10000</f>
        <v/>
      </c>
      <c r="J46" s="4">
        <f>'5.担保人-本部源数据'!G118/10000</f>
        <v/>
      </c>
    </row>
    <row r="47">
      <c r="A47" s="5" t="n"/>
      <c r="B47" s="12" t="inlineStr">
        <is>
          <t>净利润</t>
        </is>
      </c>
      <c r="C47" s="4">
        <f>'4.担保人-合并源数据'!D120/10000</f>
        <v/>
      </c>
      <c r="D47" s="4">
        <f>'4.担保人-合并源数据'!E120/10000</f>
        <v/>
      </c>
      <c r="E47" s="4">
        <f>'4.担保人-合并源数据'!F120/10000</f>
        <v/>
      </c>
      <c r="F47" s="4">
        <f>'4.担保人-合并源数据'!G120/10000</f>
        <v/>
      </c>
      <c r="G47" s="4">
        <f>'5.担保人-本部源数据'!D120/10000</f>
        <v/>
      </c>
      <c r="H47" s="4">
        <f>'5.担保人-本部源数据'!E120/10000</f>
        <v/>
      </c>
      <c r="I47" s="4">
        <f>'5.担保人-本部源数据'!F120/10000</f>
        <v/>
      </c>
      <c r="J47" s="4">
        <f>'5.担保人-本部源数据'!G120/10000</f>
        <v/>
      </c>
    </row>
    <row r="48">
      <c r="A48" s="5" t="n"/>
      <c r="B48" s="12" t="inlineStr">
        <is>
          <t>主营业务利润率</t>
        </is>
      </c>
      <c r="C48" s="13">
        <f>IF('4.担保人-合并源数据'!D94=0, 0, ('4.担保人-合并源数据'!D94 - '4.担保人-合并源数据'!D97) / '4.担保人-合并源数据'!D94)</f>
        <v/>
      </c>
      <c r="D48" s="13">
        <f>IF('4.担保人-合并源数据'!E94=0, 0, ('4.担保人-合并源数据'!E94 - '4.担保人-合并源数据'!E97) / '4.担保人-合并源数据'!E94)</f>
        <v/>
      </c>
      <c r="E48" s="13">
        <f>IF('4.担保人-合并源数据'!F94=0, 0, ('4.担保人-合并源数据'!F94 - '4.担保人-合并源数据'!F97) / '4.担保人-合并源数据'!F94)</f>
        <v/>
      </c>
      <c r="F48" s="13">
        <f>IF('4.担保人-合并源数据'!G94=0, 0, ('4.担保人-合并源数据'!G94 - '4.担保人-合并源数据'!G97) / '4.担保人-合并源数据'!G94)</f>
        <v/>
      </c>
      <c r="G48" s="13">
        <f>IF('5.担保人-本部源数据'!D94=0, 0, ('5.担保人-本部源数据'!D94 - '5.担保人-本部源数据'!D97) / '5.担保人-本部源数据'!D94)</f>
        <v/>
      </c>
      <c r="H48" s="13">
        <f>IF('5.担保人-本部源数据'!E94=0, 0, ('5.担保人-本部源数据'!E94 - '5.担保人-本部源数据'!E97) / '5.担保人-本部源数据'!E94)</f>
        <v/>
      </c>
      <c r="I48" s="13">
        <f>IF('5.担保人-本部源数据'!F94=0, 0, ('5.担保人-本部源数据'!F94 - '5.担保人-本部源数据'!F97) / '5.担保人-本部源数据'!F94)</f>
        <v/>
      </c>
      <c r="J48" s="13">
        <f>IF('5.担保人-本部源数据'!G94=0, 0, ('5.担保人-本部源数据'!G94 - '5.担保人-本部源数据'!G97) / '5.担保人-本部源数据'!G94)</f>
        <v/>
      </c>
    </row>
    <row r="49">
      <c r="A49" s="5" t="n"/>
      <c r="B49" s="12" t="inlineStr">
        <is>
          <t>期间费用率</t>
        </is>
      </c>
      <c r="C49" s="13">
        <f>IF('4.担保人-合并源数据'!D94=0, 0, ('4.担保人-合并源数据'!D100 + '4.担保人-合并源数据'!D101 + '4.担保人-合并源数据'!D102 + '4.担保人-合并源数据'!D103) / '4.担保人-合并源数据'!D94)</f>
        <v/>
      </c>
      <c r="D49" s="13">
        <f>IF('4.担保人-合并源数据'!E94=0, 0, ('4.担保人-合并源数据'!E100 + '4.担保人-合并源数据'!E101 + '4.担保人-合并源数据'!E102 + '4.担保人-合并源数据'!E103) / '4.担保人-合并源数据'!E94)</f>
        <v/>
      </c>
      <c r="E49" s="13">
        <f>IF('4.担保人-合并源数据'!F94=0, 0, ('4.担保人-合并源数据'!F100 + '4.担保人-合并源数据'!F101 + '4.担保人-合并源数据'!F102 + '4.担保人-合并源数据'!F103) / '4.担保人-合并源数据'!F94)</f>
        <v/>
      </c>
      <c r="F49" s="13">
        <f>IF('4.担保人-合并源数据'!G94=0, 0, ('4.担保人-合并源数据'!G100 + '4.担保人-合并源数据'!G101 + '4.担保人-合并源数据'!G102 + '4.担保人-合并源数据'!G103) / '4.担保人-合并源数据'!G94)</f>
        <v/>
      </c>
      <c r="G49" s="13">
        <f>IF('5.担保人-本部源数据'!D94=0, 0, ('5.担保人-本部源数据'!D100 + '5.担保人-本部源数据'!D101 + '5.担保人-本部源数据'!D102 + '5.担保人-本部源数据'!D103) / '5.担保人-本部源数据'!D94)</f>
        <v/>
      </c>
      <c r="H49" s="13">
        <f>IF('5.担保人-本部源数据'!E94=0, 0, ('5.担保人-本部源数据'!E100 + '5.担保人-本部源数据'!E101 + '5.担保人-本部源数据'!E102 + '5.担保人-本部源数据'!E103) / '5.担保人-本部源数据'!E94)</f>
        <v/>
      </c>
      <c r="I49" s="13">
        <f>IF('5.担保人-本部源数据'!F94=0, 0, ('5.担保人-本部源数据'!F100 + '5.担保人-本部源数据'!F101 + '5.担保人-本部源数据'!F102 + '5.担保人-本部源数据'!F103) / '5.担保人-本部源数据'!F94)</f>
        <v/>
      </c>
      <c r="J49" s="13">
        <f>IF('5.担保人-本部源数据'!G94=0, 0, ('5.担保人-本部源数据'!G100 + '5.担保人-本部源数据'!G101 + '5.担保人-本部源数据'!G102 + '5.担保人-本部源数据'!G103) / '5.担保人-本部源数据'!G94)</f>
        <v/>
      </c>
    </row>
    <row r="50">
      <c r="A50" s="7" t="n"/>
      <c r="B50" s="12" t="inlineStr">
        <is>
          <t>净利率</t>
        </is>
      </c>
      <c r="C50" s="13">
        <f>IF('4.担保人-合并源数据'!D94=0, 0, '4.担保人-合并源数据'!D120 / '4.担保人-合并源数据'!D94)</f>
        <v/>
      </c>
      <c r="D50" s="13">
        <f>IF('4.担保人-合并源数据'!E94=0, 0, '4.担保人-合并源数据'!E120 / '4.担保人-合并源数据'!E94)</f>
        <v/>
      </c>
      <c r="E50" s="13">
        <f>IF('4.担保人-合并源数据'!F94=0, 0, '4.担保人-合并源数据'!F120 / '4.担保人-合并源数据'!F94)</f>
        <v/>
      </c>
      <c r="F50" s="13">
        <f>IF('4.担保人-合并源数据'!G94=0, 0, '4.担保人-合并源数据'!G120 / '4.担保人-合并源数据'!G94)</f>
        <v/>
      </c>
      <c r="G50" s="13">
        <f>IF('5.担保人-本部源数据'!D94=0, 0, '5.担保人-本部源数据'!D120 / '5.担保人-本部源数据'!D94)</f>
        <v/>
      </c>
      <c r="H50" s="13">
        <f>IF('5.担保人-本部源数据'!E94=0, 0, '5.担保人-本部源数据'!E120 / '5.担保人-本部源数据'!E94)</f>
        <v/>
      </c>
      <c r="I50" s="13">
        <f>IF('5.担保人-本部源数据'!F94=0, 0, '5.担保人-本部源数据'!F120 / '5.担保人-本部源数据'!F94)</f>
        <v/>
      </c>
      <c r="J50" s="13">
        <f>IF('5.担保人-本部源数据'!G94=0, 0, '5.担保人-本部源数据'!G120 / '5.担保人-本部源数据'!G94)</f>
        <v/>
      </c>
    </row>
    <row r="51">
      <c r="A51" s="11" t="inlineStr">
        <is>
          <t>营运能力</t>
        </is>
      </c>
      <c r="B51" s="12" t="inlineStr">
        <is>
          <t>应收账款周转天数</t>
        </is>
      </c>
      <c r="C51" s="4">
        <f>IF('4.担保人-合并源数据'!D94=0, 0, 360 * '4.担保人-合并源数据'!D10 / '4.担保人-合并源数据'!D94)</f>
        <v/>
      </c>
      <c r="D51" s="4">
        <f>IF('4.担保人-合并源数据'!E94=0, 0, 360 * '4.担保人-合并源数据'!E10 / '4.担保人-合并源数据'!E94)</f>
        <v/>
      </c>
      <c r="E51" s="4">
        <f>IF('4.担保人-合并源数据'!F94=0, 0, 360 * '4.担保人-合并源数据'!F10 / '4.担保人-合并源数据'!F94)</f>
        <v/>
      </c>
      <c r="F51" s="4">
        <f>IF('4.担保人-合并源数据'!G94=0, 0, 360 * '4.担保人-合并源数据'!G10 / '4.担保人-合并源数据'!G94)</f>
        <v/>
      </c>
      <c r="G51" s="4">
        <f>IF('5.担保人-本部源数据'!D94=0, 0, 360 * '5.担保人-本部源数据'!D10 / '5.担保人-本部源数据'!D94)</f>
        <v/>
      </c>
      <c r="H51" s="4">
        <f>IF('5.担保人-本部源数据'!E94=0, 0, 360 * '5.担保人-本部源数据'!E10 / '5.担保人-本部源数据'!E94)</f>
        <v/>
      </c>
      <c r="I51" s="4">
        <f>IF('5.担保人-本部源数据'!F94=0, 0, 360 * '5.担保人-本部源数据'!F10 / '5.担保人-本部源数据'!F94)</f>
        <v/>
      </c>
      <c r="J51" s="4">
        <f>IF('5.担保人-本部源数据'!G94=0, 0, 360 * '5.担保人-本部源数据'!G10 / '5.担保人-本部源数据'!G94)</f>
        <v/>
      </c>
    </row>
    <row r="52">
      <c r="A52" s="7" t="n"/>
      <c r="B52" s="12" t="inlineStr">
        <is>
          <t>存货周转天数</t>
        </is>
      </c>
      <c r="C52" s="4">
        <f>IF('4.担保人-合并源数据'!D97=0, 0, 360 * '4.担保人-合并源数据'!D18 / '4.担保人-合并源数据'!D97)</f>
        <v/>
      </c>
      <c r="D52" s="4">
        <f>IF('4.担保人-合并源数据'!E97=0, 0, 360 * '4.担保人-合并源数据'!E18 / '4.担保人-合并源数据'!E97)</f>
        <v/>
      </c>
      <c r="E52" s="4">
        <f>IF('4.担保人-合并源数据'!F97=0, 0, 360 * '4.担保人-合并源数据'!F18 / '4.担保人-合并源数据'!F97)</f>
        <v/>
      </c>
      <c r="F52" s="4">
        <f>IF('4.担保人-合并源数据'!G97=0, 0, 360 * '4.担保人-合并源数据'!G18 / '4.担保人-合并源数据'!G97)</f>
        <v/>
      </c>
      <c r="G52" s="4">
        <f>IF('5.担保人-本部源数据'!D97=0, 0, 360 * '5.担保人-本部源数据'!D18 / '5.担保人-本部源数据'!D97)</f>
        <v/>
      </c>
      <c r="H52" s="4">
        <f>IF('5.担保人-本部源数据'!E97=0, 0, 360 * '5.担保人-本部源数据'!E18 / '5.担保人-本部源数据'!E97)</f>
        <v/>
      </c>
      <c r="I52" s="4">
        <f>IF('5.担保人-本部源数据'!F97=0, 0, 360 * '5.担保人-本部源数据'!F18 / '5.担保人-本部源数据'!F97)</f>
        <v/>
      </c>
      <c r="J52" s="4">
        <f>IF('5.担保人-本部源数据'!G97=0, 0, 360 * '5.担保人-本部源数据'!G18 / '5.担保人-本部源数据'!G97)</f>
        <v/>
      </c>
    </row>
    <row r="53">
      <c r="A53" s="11" t="inlineStr">
        <is>
          <t>偿债能力</t>
        </is>
      </c>
      <c r="B53" s="12" t="inlineStr">
        <is>
          <t>资产负债率</t>
        </is>
      </c>
      <c r="C53" s="13">
        <f>IF('4.担保人-合并源数据'!D43=0, 0, '4.担保人-合并源数据'!D75 / '4.担保人-合并源数据'!D43)</f>
        <v/>
      </c>
      <c r="D53" s="13">
        <f>IF('4.担保人-合并源数据'!E43=0, 0, '4.担保人-合并源数据'!E75 / '4.担保人-合并源数据'!E43)</f>
        <v/>
      </c>
      <c r="E53" s="13">
        <f>IF('4.担保人-合并源数据'!F43=0, 0, '4.担保人-合并源数据'!F75 / '4.担保人-合并源数据'!F43)</f>
        <v/>
      </c>
      <c r="F53" s="13">
        <f>IF('4.担保人-合并源数据'!G43=0, 0, '4.担保人-合并源数据'!G75 / '4.担保人-合并源数据'!G43)</f>
        <v/>
      </c>
      <c r="G53" s="13">
        <f>IF('5.担保人-本部源数据'!D43=0, 0, '5.担保人-本部源数据'!D75 / '5.担保人-本部源数据'!D43)</f>
        <v/>
      </c>
      <c r="H53" s="13">
        <f>IF('5.担保人-本部源数据'!E43=0, 0, '5.担保人-本部源数据'!E75 / '5.担保人-本部源数据'!E43)</f>
        <v/>
      </c>
      <c r="I53" s="13">
        <f>IF('5.担保人-本部源数据'!F43=0, 0, '5.担保人-本部源数据'!F75 / '5.担保人-本部源数据'!F43)</f>
        <v/>
      </c>
      <c r="J53" s="13">
        <f>IF('5.担保人-本部源数据'!G43=0, 0, '5.担保人-本部源数据'!G75 / '5.担保人-本部源数据'!G43)</f>
        <v/>
      </c>
    </row>
    <row r="54">
      <c r="A54" s="5" t="n"/>
      <c r="B54" s="12" t="inlineStr">
        <is>
          <t>现金短期有息债务比率</t>
        </is>
      </c>
      <c r="C54" s="13">
        <f>IF(('4.担保人-合并源数据'!D45 + '4.担保人-合并源数据'!D50 + '4.担保人-合并源数据'!D61)=0, 0, '4.担保人-合并源数据'!D3 / ('4.担保人-合并源数据'!D45 + '4.担保人-合并源数据'!D50 + '4.担保人-合并源数据'!D61))</f>
        <v/>
      </c>
      <c r="D54" s="13">
        <f>IF(('4.担保人-合并源数据'!E45 + '4.担保人-合并源数据'!E50 + '4.担保人-合并源数据'!E61)=0, 0, '4.担保人-合并源数据'!E3 / ('4.担保人-合并源数据'!E45 + '4.担保人-合并源数据'!E50 + '4.担保人-合并源数据'!E61))</f>
        <v/>
      </c>
      <c r="E54" s="13">
        <f>IF(('4.担保人-合并源数据'!F45 + '4.担保人-合并源数据'!F50 + '4.担保人-合并源数据'!F61)=0, 0, '4.担保人-合并源数据'!F3 / ('4.担保人-合并源数据'!F45 + '4.担保人-合并源数据'!F50 + '4.担保人-合并源数据'!F61))</f>
        <v/>
      </c>
      <c r="F54" s="13">
        <f>IF(('4.担保人-合并源数据'!G45 + '4.担保人-合并源数据'!G50 + '4.担保人-合并源数据'!G61)=0, 0, '4.担保人-合并源数据'!G3 / ('4.担保人-合并源数据'!G45 + '4.担保人-合并源数据'!G50 + '4.担保人-合并源数据'!G61))</f>
        <v/>
      </c>
      <c r="G54" s="13">
        <f>IF(('5.担保人-本部源数据'!D45 + '5.担保人-本部源数据'!D50 + '5.担保人-本部源数据'!D61)=0, 0, '5.担保人-本部源数据'!D3 / ('5.担保人-本部源数据'!D45 + '5.担保人-本部源数据'!D50 + '5.担保人-本部源数据'!D61))</f>
        <v/>
      </c>
      <c r="H54" s="13">
        <f>IF(('5.担保人-本部源数据'!E45 + '5.担保人-本部源数据'!E50 + '5.担保人-本部源数据'!E61)=0, 0, '5.担保人-本部源数据'!E3 / ('5.担保人-本部源数据'!E45 + '5.担保人-本部源数据'!E50 + '5.担保人-本部源数据'!E61))</f>
        <v/>
      </c>
      <c r="I54" s="13">
        <f>IF(('5.担保人-本部源数据'!F45 + '5.担保人-本部源数据'!F50 + '5.担保人-本部源数据'!F61)=0, 0, '5.担保人-本部源数据'!F3 / ('5.担保人-本部源数据'!F45 + '5.担保人-本部源数据'!F50 + '5.担保人-本部源数据'!F61))</f>
        <v/>
      </c>
      <c r="J54" s="13">
        <f>IF(('5.担保人-本部源数据'!G45 + '5.担保人-本部源数据'!G50 + '5.担保人-本部源数据'!G61)=0, 0, '5.担保人-本部源数据'!G3 / ('5.担保人-本部源数据'!G45 + '5.担保人-本部源数据'!G50 + '5.担保人-本部源数据'!G61))</f>
        <v/>
      </c>
    </row>
    <row r="55">
      <c r="A55" s="5" t="n"/>
      <c r="B55" s="12" t="inlineStr">
        <is>
          <t>付现利息</t>
        </is>
      </c>
      <c r="C55" s="4">
        <f>'4.担保人-合并源数据'!D165/10000</f>
        <v/>
      </c>
      <c r="D55" s="4">
        <f>'4.担保人-合并源数据'!E165/10000</f>
        <v/>
      </c>
      <c r="E55" s="4">
        <f>'4.担保人-合并源数据'!F165/10000</f>
        <v/>
      </c>
      <c r="F55" s="4">
        <f>'4.担保人-合并源数据'!G165/10000</f>
        <v/>
      </c>
      <c r="G55" s="4">
        <f>'5.担保人-本部源数据'!D165/10000</f>
        <v/>
      </c>
      <c r="H55" s="4">
        <f>'5.担保人-本部源数据'!E165/10000</f>
        <v/>
      </c>
      <c r="I55" s="4">
        <f>'5.担保人-本部源数据'!F165/10000</f>
        <v/>
      </c>
      <c r="J55" s="4">
        <f>'5.担保人-本部源数据'!G165/10000</f>
        <v/>
      </c>
    </row>
    <row r="56">
      <c r="A56" s="5" t="n"/>
      <c r="B56" s="2" t="inlineStr">
        <is>
          <t>其中：计入利润表的财务费用</t>
        </is>
      </c>
      <c r="C56" s="4">
        <f>'4.担保人-合并源数据'!D104/10000</f>
        <v/>
      </c>
      <c r="D56" s="4">
        <f>'4.担保人-合并源数据'!E104/10000</f>
        <v/>
      </c>
      <c r="E56" s="4">
        <f>'4.担保人-合并源数据'!F104/10000</f>
        <v/>
      </c>
      <c r="F56" s="4">
        <f>'4.担保人-合并源数据'!G104/10000</f>
        <v/>
      </c>
      <c r="G56" s="4">
        <f>'5.担保人-本部源数据'!D104/10000</f>
        <v/>
      </c>
      <c r="H56" s="4">
        <f>'5.担保人-本部源数据'!E104/10000</f>
        <v/>
      </c>
      <c r="I56" s="4">
        <f>'5.担保人-本部源数据'!F104/10000</f>
        <v/>
      </c>
      <c r="J56" s="4">
        <f>'5.担保人-本部源数据'!G104/10000</f>
        <v/>
      </c>
    </row>
    <row r="57">
      <c r="A57" s="5" t="n"/>
      <c r="B57" s="12" t="inlineStr">
        <is>
          <t>EBIT利息倍数</t>
        </is>
      </c>
      <c r="C57" s="4">
        <f>IF('4.担保人-合并源数据'!D104=0, "-", ('4.担保人-合并源数据'!D118 + '4.担保人-合并源数据'!D104) / '4.担保人-合并源数据'!D104)</f>
        <v/>
      </c>
      <c r="D57" s="4">
        <f>IF('4.担保人-合并源数据'!E104=0, "-", ('4.担保人-合并源数据'!E118 + '4.担保人-合并源数据'!E104) / '4.担保人-合并源数据'!E104)</f>
        <v/>
      </c>
      <c r="E57" s="4">
        <f>IF('4.担保人-合并源数据'!F104=0, "-", ('4.担保人-合并源数据'!F118 + '4.担保人-合并源数据'!F104) / '4.担保人-合并源数据'!F104)</f>
        <v/>
      </c>
      <c r="F57" s="4">
        <f>IF('4.担保人-合并源数据'!G104=0, "-", ('4.担保人-合并源数据'!G118 + '4.担保人-合并源数据'!G104) / '4.担保人-合并源数据'!G104)</f>
        <v/>
      </c>
      <c r="G57" s="4">
        <f>IF('5.担保人-本部源数据'!D104=0, "-", ('5.担保人-本部源数据'!D118 + '5.担保人-本部源数据'!D104) / '5.担保人-本部源数据'!D104)</f>
        <v/>
      </c>
      <c r="H57" s="4">
        <f>IF('5.担保人-本部源数据'!E104=0, "-", ('5.担保人-本部源数据'!E118 + '5.担保人-本部源数据'!E104) / '5.担保人-本部源数据'!E104)</f>
        <v/>
      </c>
      <c r="I57" s="4">
        <f>IF('5.担保人-本部源数据'!F104=0, "-", ('5.担保人-本部源数据'!F118 + '5.担保人-本部源数据'!F104) / '5.担保人-本部源数据'!F104)</f>
        <v/>
      </c>
      <c r="J57" s="4">
        <f>IF('5.担保人-本部源数据'!G104=0, "-", ('5.担保人-本部源数据'!G118 + '5.担保人-本部源数据'!G104) / '5.担保人-本部源数据'!G104)</f>
        <v/>
      </c>
    </row>
    <row r="58">
      <c r="A58" s="5" t="n"/>
      <c r="B58" s="12" t="inlineStr">
        <is>
          <t>EBITDA利息倍数</t>
        </is>
      </c>
      <c r="C58" s="4">
        <f>IF('4.担保人-合并源数据'!D104=0, "-", ('4.担保人-合并源数据'!D118 + '4.担保人-合并源数据'!D104 + C15 + C18 + C20) / '4.担保人-合并源数据'!D104)</f>
        <v/>
      </c>
      <c r="D58" s="4">
        <f>IF('4.担保人-合并源数据'!E104=0, "-", ('4.担保人-合并源数据'!E118 + '4.担保人-合并源数据'!E104 + D15 + D18 + D20) / '4.担保人-合并源数据'!E104)</f>
        <v/>
      </c>
      <c r="E58" s="4">
        <f>IF('4.担保人-合并源数据'!F104=0, "-", ('4.担保人-合并源数据'!F118 + '4.担保人-合并源数据'!F104 + E15 + E18 + E20) / '4.担保人-合并源数据'!F104)</f>
        <v/>
      </c>
      <c r="F58" s="4">
        <f>IF('4.担保人-合并源数据'!G104=0, "-", ('4.担保人-合并源数据'!G118 + '4.担保人-合并源数据'!G104 + F15 + F18 + F20) / '4.担保人-合并源数据'!G104)</f>
        <v/>
      </c>
      <c r="G58" s="4">
        <f>IF('5.担保人-本部源数据'!D104=0, "-", ('5.担保人-本部源数据'!D118 + '5.担保人-本部源数据'!D104 + G15 + G18 + G20) / '5.担保人-本部源数据'!D104)</f>
        <v/>
      </c>
      <c r="H58" s="4">
        <f>IF('5.担保人-本部源数据'!E104=0, "-", ('5.担保人-本部源数据'!E118 + '5.担保人-本部源数据'!E104 + H15 + H18 + H20) / '5.担保人-本部源数据'!E104)</f>
        <v/>
      </c>
      <c r="I58" s="4">
        <f>IF('5.担保人-本部源数据'!F104=0, "-", ('5.担保人-本部源数据'!F118 + '5.担保人-本部源数据'!F104 + I15 + I18 + I20) / '5.担保人-本部源数据'!F104)</f>
        <v/>
      </c>
      <c r="J58" s="4">
        <f>IF('5.担保人-本部源数据'!G104=0, "-", ('5.担保人-本部源数据'!G118 + '5.担保人-本部源数据'!G104 + J15 + J18 + J20) / '5.担保人-本部源数据'!G104)</f>
        <v/>
      </c>
    </row>
    <row r="59">
      <c r="A59" s="7" t="n"/>
      <c r="B59" s="12" t="inlineStr">
        <is>
          <t>经营净现金流利息保障倍数</t>
        </is>
      </c>
      <c r="C59" s="4">
        <f>IF('4.担保人-合并源数据'!D104=0, "-", '4.担保人-合并源数据'!D142 / '4.担保人-合并源数据'!D104)</f>
        <v/>
      </c>
      <c r="D59" s="4">
        <f>IF('4.担保人-合并源数据'!E104=0, "-", '4.担保人-合并源数据'!E142 / '4.担保人-合并源数据'!E104)</f>
        <v/>
      </c>
      <c r="E59" s="4">
        <f>IF('4.担保人-合并源数据'!F104=0, "-", '4.担保人-合并源数据'!F142 / '4.担保人-合并源数据'!F104)</f>
        <v/>
      </c>
      <c r="F59" s="4">
        <f>IF('4.担保人-合并源数据'!G104=0, "-", '4.担保人-合并源数据'!G142 / '4.担保人-合并源数据'!G104)</f>
        <v/>
      </c>
      <c r="G59" s="4">
        <f>IF('5.担保人-本部源数据'!D104=0, "-", '5.担保人-本部源数据'!D142 / '5.担保人-本部源数据'!D104)</f>
        <v/>
      </c>
      <c r="H59" s="4">
        <f>IF('5.担保人-本部源数据'!E104=0, "-", '5.担保人-本部源数据'!E142 / '5.担保人-本部源数据'!E104)</f>
        <v/>
      </c>
      <c r="I59" s="4">
        <f>IF('5.担保人-本部源数据'!F104=0, "-", '5.担保人-本部源数据'!F142 / '5.担保人-本部源数据'!F104)</f>
        <v/>
      </c>
      <c r="J59" s="4">
        <f>IF('5.担保人-本部源数据'!G104=0, "-", '5.担保人-本部源数据'!G142 / '5.担保人-本部源数据'!G104)</f>
        <v/>
      </c>
    </row>
    <row r="60">
      <c r="A60" s="11" t="inlineStr">
        <is>
          <t>现金流</t>
        </is>
      </c>
      <c r="B60" s="12" t="inlineStr">
        <is>
          <t>经营活动净现金流量</t>
        </is>
      </c>
      <c r="C60" s="4">
        <f>'4.担保人-合并源数据'!D142/10000</f>
        <v/>
      </c>
      <c r="D60" s="4">
        <f>'4.担保人-合并源数据'!E142/10000</f>
        <v/>
      </c>
      <c r="E60" s="4">
        <f>'4.担保人-合并源数据'!F142/10000</f>
        <v/>
      </c>
      <c r="F60" s="4">
        <f>'4.担保人-合并源数据'!G142/10000</f>
        <v/>
      </c>
      <c r="G60" s="4">
        <f>'5.担保人-本部源数据'!D142/10000</f>
        <v/>
      </c>
      <c r="H60" s="4">
        <f>'5.担保人-本部源数据'!E142/10000</f>
        <v/>
      </c>
      <c r="I60" s="4">
        <f>'5.担保人-本部源数据'!F142/10000</f>
        <v/>
      </c>
      <c r="J60" s="4">
        <f>'5.担保人-本部源数据'!G142/10000</f>
        <v/>
      </c>
    </row>
    <row r="61">
      <c r="A61" s="5" t="n"/>
      <c r="B61" s="2" t="inlineStr">
        <is>
          <t>其中，销售商品提供劳务收到的现金</t>
        </is>
      </c>
      <c r="C61" s="4">
        <f>'4.担保人-合并源数据'!D127/10000</f>
        <v/>
      </c>
      <c r="D61" s="4">
        <f>'4.担保人-合并源数据'!E127/10000</f>
        <v/>
      </c>
      <c r="E61" s="4">
        <f>'4.担保人-合并源数据'!F127/10000</f>
        <v/>
      </c>
      <c r="F61" s="4">
        <f>'4.担保人-合并源数据'!G127/10000</f>
        <v/>
      </c>
      <c r="G61" s="4">
        <f>'5.担保人-本部源数据'!D127/10000</f>
        <v/>
      </c>
      <c r="H61" s="4">
        <f>'5.担保人-本部源数据'!E127/10000</f>
        <v/>
      </c>
      <c r="I61" s="4">
        <f>'5.担保人-本部源数据'!F127/10000</f>
        <v/>
      </c>
      <c r="J61" s="4">
        <f>'5.担保人-本部源数据'!G127/10000</f>
        <v/>
      </c>
    </row>
    <row r="62">
      <c r="A62" s="5" t="n"/>
      <c r="B62" s="12" t="inlineStr">
        <is>
          <t>收现比</t>
        </is>
      </c>
      <c r="C62" s="13">
        <f>IF('4.担保人-合并源数据'!D94=0, 0, '4.担保人-合并源数据'!D127 / '4.担保人-合并源数据'!D94)</f>
        <v/>
      </c>
      <c r="D62" s="13">
        <f>IF('4.担保人-合并源数据'!E94=0, 0, '4.担保人-合并源数据'!E127 / '4.担保人-合并源数据'!E94)</f>
        <v/>
      </c>
      <c r="E62" s="13">
        <f>IF('4.担保人-合并源数据'!F94=0, 0, '4.担保人-合并源数据'!F127 / '4.担保人-合并源数据'!F94)</f>
        <v/>
      </c>
      <c r="F62" s="13">
        <f>IF('4.担保人-合并源数据'!G94=0, 0, '4.担保人-合并源数据'!G127 / '4.担保人-合并源数据'!G94)</f>
        <v/>
      </c>
      <c r="G62" s="13">
        <f>IF('5.担保人-本部源数据'!D94=0, 0, '5.担保人-本部源数据'!D127 / '5.担保人-本部源数据'!D94)</f>
        <v/>
      </c>
      <c r="H62" s="13">
        <f>IF('5.担保人-本部源数据'!E94=0, 0, '5.担保人-本部源数据'!E127 / '5.担保人-本部源数据'!E94)</f>
        <v/>
      </c>
      <c r="I62" s="13">
        <f>IF('5.担保人-本部源数据'!F94=0, 0, '5.担保人-本部源数据'!F127 / '5.担保人-本部源数据'!F94)</f>
        <v/>
      </c>
      <c r="J62" s="13">
        <f>IF('5.担保人-本部源数据'!G94=0, 0, '5.担保人-本部源数据'!G127 / '5.担保人-本部源数据'!G94)</f>
        <v/>
      </c>
    </row>
    <row r="63">
      <c r="A63" s="5" t="n"/>
      <c r="B63" s="12" t="inlineStr">
        <is>
          <t>投资活动净现金流</t>
        </is>
      </c>
      <c r="C63" s="4">
        <f>'4.担保人-合并源数据'!D156/10000</f>
        <v/>
      </c>
      <c r="D63" s="4">
        <f>'4.担保人-合并源数据'!E156/10000</f>
        <v/>
      </c>
      <c r="E63" s="4">
        <f>'4.担保人-合并源数据'!F156/10000</f>
        <v/>
      </c>
      <c r="F63" s="4">
        <f>'4.担保人-合并源数据'!G156/10000</f>
        <v/>
      </c>
      <c r="G63" s="4">
        <f>'5.担保人-本部源数据'!D156/10000</f>
        <v/>
      </c>
      <c r="H63" s="4">
        <f>'5.担保人-本部源数据'!E156/10000</f>
        <v/>
      </c>
      <c r="I63" s="4">
        <f>'5.担保人-本部源数据'!F156/10000</f>
        <v/>
      </c>
      <c r="J63" s="4">
        <f>'5.担保人-本部源数据'!G156/10000</f>
        <v/>
      </c>
    </row>
    <row r="64">
      <c r="A64" s="5" t="n"/>
      <c r="B64" s="12" t="inlineStr">
        <is>
          <t>筹资活动净现金流</t>
        </is>
      </c>
      <c r="C64" s="4">
        <f>'4.担保人-合并源数据'!D169/10000</f>
        <v/>
      </c>
      <c r="D64" s="4">
        <f>'4.担保人-合并源数据'!E169/10000</f>
        <v/>
      </c>
      <c r="E64" s="4">
        <f>'4.担保人-合并源数据'!F169/10000</f>
        <v/>
      </c>
      <c r="F64" s="4">
        <f>'4.担保人-合并源数据'!G169/10000</f>
        <v/>
      </c>
      <c r="G64" s="4">
        <f>'5.担保人-本部源数据'!D169/10000</f>
        <v/>
      </c>
      <c r="H64" s="4">
        <f>'5.担保人-本部源数据'!E169/10000</f>
        <v/>
      </c>
      <c r="I64" s="4">
        <f>'5.担保人-本部源数据'!F169/10000</f>
        <v/>
      </c>
      <c r="J64" s="4">
        <f>'5.担保人-本部源数据'!G169/10000</f>
        <v/>
      </c>
    </row>
    <row r="65">
      <c r="A65" s="7" t="n"/>
      <c r="B65" s="12" t="inlineStr">
        <is>
          <t>净现金流</t>
        </is>
      </c>
      <c r="C65" s="4">
        <f>'4.担保人-合并源数据'!D171/10000</f>
        <v/>
      </c>
      <c r="D65" s="4">
        <f>'4.担保人-合并源数据'!E171/10000</f>
        <v/>
      </c>
      <c r="E65" s="4">
        <f>'4.担保人-合并源数据'!F171/10000</f>
        <v/>
      </c>
      <c r="F65" s="4">
        <f>'4.担保人-合并源数据'!G171/10000</f>
        <v/>
      </c>
      <c r="G65" s="4">
        <f>'5.担保人-本部源数据'!D171/10000</f>
        <v/>
      </c>
      <c r="H65" s="4">
        <f>'5.担保人-本部源数据'!E171/10000</f>
        <v/>
      </c>
      <c r="I65" s="4">
        <f>'5.担保人-本部源数据'!F171/10000</f>
        <v/>
      </c>
      <c r="J65" s="4">
        <f>'5.担保人-本部源数据'!G171/10000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">
    <mergeCell ref="A3:A22"/>
    <mergeCell ref="A35:A39"/>
    <mergeCell ref="A51:A52"/>
    <mergeCell ref="A23:A34"/>
    <mergeCell ref="B1:B2"/>
    <mergeCell ref="C1:F1"/>
    <mergeCell ref="G1:J1"/>
    <mergeCell ref="A40:A50"/>
    <mergeCell ref="A60:A65"/>
    <mergeCell ref="A53:A59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2026-03-04T12:03:16Z</dcterms:created>
  <dcterms:modified xsi:type="dcterms:W3CDTF">2026-03-04T12:03:16Z</dcterms:modified>
</cp:coreProperties>
</file>